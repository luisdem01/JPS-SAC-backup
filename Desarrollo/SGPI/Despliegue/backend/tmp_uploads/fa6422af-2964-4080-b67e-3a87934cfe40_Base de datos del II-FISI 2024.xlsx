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F20VDI02E\Nextcloud\Documentos 2024\02. IIFISI\07. BD\1. Investigación\"/>
    </mc:Choice>
  </mc:AlternateContent>
  <bookViews>
    <workbookView xWindow="0" yWindow="0" windowWidth="28800" windowHeight="12030" activeTab="1"/>
  </bookViews>
  <sheets>
    <sheet name="Proyectos con Financiamiento" sheetId="1" r:id="rId1"/>
    <sheet name="Publicación de artículos" sheetId="2" r:id="rId2"/>
    <sheet name="TESIS" sheetId="3" r:id="rId3"/>
    <sheet name="Autor capítulo libro" sheetId="4" r:id="rId4"/>
  </sheets>
  <definedNames>
    <definedName name="_xlnm._FilterDatabase" localSheetId="1" hidden="1">'Publicación de artículos'!$A$4:$J$47</definedName>
    <definedName name="_xlnm.Print_Area" localSheetId="0">'Proyectos con Financiamiento'!$A$1:$K$26</definedName>
    <definedName name="_xlnm.Print_Area" localSheetId="1">'Publicación de artículos'!$A$1:$I$47</definedName>
    <definedName name="_xlnm.Print_Area" localSheetId="2">TESIS!$A$1:$F$9</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40" i="2" l="1"/>
  <c r="A30" i="2" l="1"/>
  <c r="A44" i="2"/>
  <c r="A45" i="2"/>
  <c r="A46" i="2"/>
  <c r="A32" i="2"/>
  <c r="A33" i="2"/>
  <c r="A34" i="2"/>
  <c r="A35" i="2"/>
  <c r="A36" i="2"/>
  <c r="A37" i="2"/>
  <c r="A38" i="2"/>
  <c r="A39" i="2"/>
  <c r="A41" i="2"/>
  <c r="A42" i="2"/>
  <c r="A43" i="2"/>
  <c r="A31" i="2"/>
  <c r="A29" i="2" l="1"/>
  <c r="A28" i="2"/>
  <c r="A27" i="2"/>
  <c r="A26" i="2"/>
  <c r="A25" i="2"/>
  <c r="A24" i="2"/>
  <c r="A23" i="2"/>
  <c r="A11" i="3"/>
  <c r="A10" i="3"/>
  <c r="A6" i="3" l="1"/>
  <c r="A7" i="3"/>
  <c r="A8" i="3"/>
  <c r="A9" i="3"/>
  <c r="A5" i="3"/>
  <c r="A15" i="2"/>
  <c r="A14" i="2"/>
  <c r="A13" i="2"/>
  <c r="A12" i="2"/>
  <c r="A11" i="2"/>
  <c r="A10" i="2"/>
  <c r="A9" i="2"/>
  <c r="A8" i="2"/>
  <c r="A7" i="2"/>
  <c r="A6" i="2"/>
  <c r="A5" i="2"/>
  <c r="A22" i="2"/>
  <c r="A21" i="2"/>
  <c r="A5" i="4"/>
  <c r="A17" i="2"/>
  <c r="A20" i="2"/>
  <c r="A18" i="2"/>
  <c r="A19" i="2"/>
  <c r="A16" i="2"/>
</calcChain>
</file>

<file path=xl/sharedStrings.xml><?xml version="1.0" encoding="utf-8"?>
<sst xmlns="http://schemas.openxmlformats.org/spreadsheetml/2006/main" count="491" uniqueCount="343">
  <si>
    <t>Título del Proyecto</t>
  </si>
  <si>
    <t>Resolucion Rectoral</t>
  </si>
  <si>
    <t xml:space="preserve">Grupo de Investigación </t>
  </si>
  <si>
    <t>Responsable</t>
  </si>
  <si>
    <t xml:space="preserve">Codigo del Proyecto </t>
  </si>
  <si>
    <t>BASE DE DATOS II-FISI 2024</t>
  </si>
  <si>
    <t>Título del artículo</t>
  </si>
  <si>
    <t>Revista de Investigación</t>
  </si>
  <si>
    <t>Indexado en, nivel</t>
  </si>
  <si>
    <t>DOI</t>
  </si>
  <si>
    <t>TESIS DE PRE Y POSGRADO</t>
  </si>
  <si>
    <r>
      <t>Evento (</t>
    </r>
    <r>
      <rPr>
        <b/>
        <sz val="9"/>
        <color theme="1"/>
        <rFont val="Calibri"/>
        <family val="2"/>
        <scheme val="minor"/>
      </rPr>
      <t>Congreso, simposium, Taller, etc</t>
    </r>
    <r>
      <rPr>
        <b/>
        <sz val="11"/>
        <color theme="1"/>
        <rFont val="Calibri"/>
        <family val="2"/>
        <scheme val="minor"/>
      </rPr>
      <t>)</t>
    </r>
  </si>
  <si>
    <t>C24202641</t>
  </si>
  <si>
    <t>004305-2024
22/03/2024</t>
  </si>
  <si>
    <t>Sistema de Vigilancia Digital del Trastorno de la Ansiedad Aplicando Técnicas de Machine Learning en Estudiantes Universitarios – UNMSM</t>
  </si>
  <si>
    <t>Mamani Rodriguez Zoraida Emperatriz</t>
  </si>
  <si>
    <t>Gonzales Suárez Juan Carlos</t>
  </si>
  <si>
    <t>Co responsable</t>
  </si>
  <si>
    <t>Ingenieria Web
(INWE)</t>
  </si>
  <si>
    <t>Miembro
Docente</t>
  </si>
  <si>
    <t>Bayona Ore Luz Sussy</t>
  </si>
  <si>
    <t>Del Pino Rodriguez Luz Corina</t>
  </si>
  <si>
    <t>Colaborador</t>
  </si>
  <si>
    <t>Hostos Quin Marco Antonio</t>
  </si>
  <si>
    <t>C24202731</t>
  </si>
  <si>
    <t>Intención y Percepción por parte de las Mujeres en el Uso de la Plataforma de Gestión Documental (PGD) de Lima y Ayacucho: Estudio Empírico Basado en el Modelo de Aceptación de la Tecnología y la Computación Afectiva</t>
  </si>
  <si>
    <t>Tesista</t>
  </si>
  <si>
    <t>Reyes Huaman Anita Marlene</t>
  </si>
  <si>
    <t>C24201321</t>
  </si>
  <si>
    <t>Clasificación de la Enfermedad del Alzheimer Basado en Aprendizaje Profundo Para Mejorar la Calidad de Vida de los Pacientes</t>
  </si>
  <si>
    <t>Vega Huerta Hugo Froilan</t>
  </si>
  <si>
    <t>Guerra Grados Luis Angel</t>
  </si>
  <si>
    <t>De La Cruz Velez De Villa Percy Edwin</t>
  </si>
  <si>
    <t>Bustamante Retamozo Alberto Carlos</t>
  </si>
  <si>
    <t>Colaborador
Externo</t>
  </si>
  <si>
    <t>C24202171</t>
  </si>
  <si>
    <t>Detección y Clasificación de Cáncer a la Piel Mediante Redes Neuronales
Convolucionales</t>
  </si>
  <si>
    <t>Innovando Sistemas Inteligentes
(YACHAY)</t>
  </si>
  <si>
    <t>Pantoja Collantes Jorge Santiago</t>
  </si>
  <si>
    <t>Cámara Figueroa Adegundo Mario</t>
  </si>
  <si>
    <t>Puelles Bulnes María Elizabeth</t>
  </si>
  <si>
    <t>C24202661</t>
  </si>
  <si>
    <t>Implementar un Minihuerto Inteligente Doméstico con Nutrición Programada de Plantas como una Estrategia para Combatir la Inseguridad Alimentaria en los Centros Urbanos del Perú</t>
  </si>
  <si>
    <t>C24203311</t>
  </si>
  <si>
    <t>Sistema de Inteligencia Conversacional Integrado con el Motor Cognitivo de Chat GPT
para la Oficina Central de Admisión de la Unmsm</t>
  </si>
  <si>
    <t>Cabrera Díaz Javier Elmer</t>
  </si>
  <si>
    <t>Inteligencia Artificial (INTGARTI)</t>
  </si>
  <si>
    <t>Predicción del Comportamiento de una Pandemia a través del Machine Learning</t>
  </si>
  <si>
    <t>C24200721</t>
  </si>
  <si>
    <t>Mauricio Sánchez David Santos</t>
  </si>
  <si>
    <t>Lazo Aguirre Walter Aurelio</t>
  </si>
  <si>
    <t>C24202791</t>
  </si>
  <si>
    <t>Análisis Etnográfico para la Determinación de la Calidad de Vida en las Comunidades Nativas de las Cuencas Amazónicas de la Provincia de Maynas, con Enfoque de la ISO 19152 y Modelos de Inteligencia Artificial</t>
  </si>
  <si>
    <t>Tecnologías de la Informacion Aplicados a la Ciencia de los Datos “Information Technologies Applied to the Data Science" (ITDATA) (ITDATA)</t>
  </si>
  <si>
    <t>Rodríguez Rodríguez Ciro</t>
  </si>
  <si>
    <t>Román Concha Norberto Ulises</t>
  </si>
  <si>
    <t>Ramírez Villacorta Jimmy Max</t>
  </si>
  <si>
    <t>Anccori Huaricacha Franklin</t>
  </si>
  <si>
    <t>Challenges of Requirements Engineering in Agile Projects: A Systematic Review</t>
  </si>
  <si>
    <t>Fecha</t>
  </si>
  <si>
    <t>Primer autor
Filiación</t>
  </si>
  <si>
    <t>Coautores
Filiación</t>
  </si>
  <si>
    <t>International Journal of Emerging Technology and Advanced Engineering
(IJETAE)</t>
  </si>
  <si>
    <t>10.46338/ijetae0124_03</t>
  </si>
  <si>
    <t>Revista no indexada</t>
  </si>
  <si>
    <t>Benito Pacheco Oscar</t>
  </si>
  <si>
    <t>Delgadillo Ávila De Mauricio Rosa Sumactika</t>
  </si>
  <si>
    <t>AT: Asynchronous Teleconsultation for Healthcare Facilities in Rural Areas of Peru</t>
  </si>
  <si>
    <t>International Journal of Online And Biomedical Engineering (IJOE)</t>
  </si>
  <si>
    <t>10.3991/ijoe.v20i04.44511</t>
  </si>
  <si>
    <t>Revista Scopus/Medline</t>
  </si>
  <si>
    <t>Electronic Health Record Interoperability System in Peru Using Blockchain</t>
  </si>
  <si>
    <t>10.3991/ijoe.v20i03.44507</t>
  </si>
  <si>
    <t>27.02.24</t>
  </si>
  <si>
    <t>04.03.24</t>
  </si>
  <si>
    <t>27.03.24</t>
  </si>
  <si>
    <t>15.03.24</t>
  </si>
  <si>
    <t>Classification Model Using Transfer Learning for the Detection of Pneumonia in Chest X-Ray Images</t>
  </si>
  <si>
    <t>lnternational Journal of Online and Biomedical Engineering (IJOE)</t>
  </si>
  <si>
    <t>10.3991/ijoe.v20i05.45277</t>
  </si>
  <si>
    <t>Method to Forecast the Presidential Election Results Based on Simulation and Machine Learning</t>
  </si>
  <si>
    <t>Computation</t>
  </si>
  <si>
    <t>10.3390/computation12030038</t>
  </si>
  <si>
    <t>22.02.24</t>
  </si>
  <si>
    <t>N°</t>
  </si>
  <si>
    <t>Ten Years of SME E-Commerce Performance Factors and Metrics, 2011-2021</t>
  </si>
  <si>
    <t>Journal of Electronic Commerce in Organizations</t>
  </si>
  <si>
    <t>10.4018/JECO.340940</t>
  </si>
  <si>
    <t>09.04.24</t>
  </si>
  <si>
    <t>A New Approach to Measure the Quality of University Services Using the ServPerf Model and Statistical Techniques Implemented in a Business Intelligence Solution</t>
  </si>
  <si>
    <t>International Journal of Engineering Trends and Technology (IJETT)</t>
  </si>
  <si>
    <t>10.14445/22315381/IJETT-V72I2P113</t>
  </si>
  <si>
    <t>Revista Scopus, CAB Abstracts</t>
  </si>
  <si>
    <t>03.02.24</t>
  </si>
  <si>
    <r>
      <t xml:space="preserve">Javier Cabrera Diaz
</t>
    </r>
    <r>
      <rPr>
        <sz val="11"/>
        <color rgb="FFC00000"/>
        <rFont val="Calibri"/>
        <family val="2"/>
        <scheme val="minor"/>
      </rPr>
      <t>jcabrerad@unmsm.edu.pe</t>
    </r>
    <r>
      <rPr>
        <sz val="11"/>
        <color theme="1"/>
        <rFont val="Calibri"/>
        <family val="2"/>
        <scheme val="minor"/>
      </rPr>
      <t xml:space="preserve">
De La Cruz Velez De Villa Percy Edwin
</t>
    </r>
    <r>
      <rPr>
        <sz val="11"/>
        <color rgb="FFC00000"/>
        <rFont val="Calibri"/>
        <family val="2"/>
        <scheme val="minor"/>
      </rPr>
      <t>pdelacruzv@unmsm.edu.pe</t>
    </r>
    <r>
      <rPr>
        <sz val="11"/>
        <color theme="1"/>
        <rFont val="Calibri"/>
        <family val="2"/>
        <scheme val="minor"/>
      </rPr>
      <t xml:space="preserve">
Jorge  Pantoja Collantes
</t>
    </r>
    <r>
      <rPr>
        <sz val="11"/>
        <color rgb="FFC00000"/>
        <rFont val="Calibri"/>
        <family val="2"/>
        <scheme val="minor"/>
      </rPr>
      <t>jpantojac@unmsm.edu.pe</t>
    </r>
    <r>
      <rPr>
        <sz val="11"/>
        <color theme="1"/>
        <rFont val="Calibri"/>
        <family val="2"/>
        <scheme val="minor"/>
      </rPr>
      <t xml:space="preserve">
Oscar Benito Pacheco
</t>
    </r>
    <r>
      <rPr>
        <sz val="11"/>
        <color rgb="FFC00000"/>
        <rFont val="Calibri"/>
        <family val="2"/>
        <scheme val="minor"/>
      </rPr>
      <t>obenitop@unmsm.edu.pe</t>
    </r>
  </si>
  <si>
    <r>
      <t xml:space="preserve">Hugo Vega Huerta
</t>
    </r>
    <r>
      <rPr>
        <sz val="11"/>
        <color rgb="FFC00000"/>
        <rFont val="Calibri"/>
        <family val="2"/>
        <scheme val="minor"/>
      </rPr>
      <t>hvegah@unmsm.edu.pe</t>
    </r>
  </si>
  <si>
    <r>
      <t xml:space="preserve">David Santos Mauricio Sánchez
</t>
    </r>
    <r>
      <rPr>
        <sz val="11"/>
        <color rgb="FFC00000"/>
        <rFont val="Calibri"/>
        <family val="2"/>
        <scheme val="minor"/>
      </rPr>
      <t>dmauricios@unmsm.edu.pe</t>
    </r>
  </si>
  <si>
    <r>
      <t xml:space="preserve">De La Cruz Velez De Villa Percy Edwin
</t>
    </r>
    <r>
      <rPr>
        <sz val="11"/>
        <color rgb="FFC00000"/>
        <rFont val="Calibri"/>
        <family val="2"/>
        <scheme val="minor"/>
      </rPr>
      <t>pdelacruzv@unmsm.edu.pe</t>
    </r>
  </si>
  <si>
    <r>
      <t xml:space="preserve">Santiago Domingo Moquillaza Henríquez
</t>
    </r>
    <r>
      <rPr>
        <sz val="11"/>
        <color rgb="FFC00000"/>
        <rFont val="Calibri"/>
        <family val="2"/>
        <scheme val="minor"/>
      </rPr>
      <t>smoquillazah@unmsm.edu.pe</t>
    </r>
  </si>
  <si>
    <t>Daniel Ricardo Fernández Caso</t>
  </si>
  <si>
    <t>Pregrado</t>
  </si>
  <si>
    <t>Víctor Hugo Bustamante Olivera</t>
  </si>
  <si>
    <t>Diseño de un Sistema de Gestión de Seguridad de la Información en el proceso de emisión de certificados médicos de aptitud. Caso: Clínica IPC Salud</t>
  </si>
  <si>
    <t>Pregrado/Posgrado</t>
  </si>
  <si>
    <t>Apellidos y Nombre del Tesista</t>
  </si>
  <si>
    <t>Título de la Tesis</t>
  </si>
  <si>
    <t>Asesores</t>
  </si>
  <si>
    <t>04.01.24</t>
  </si>
  <si>
    <t>Metodología de gestión del riesgo de proyectos de tecnología para PYMES basado en la ISO 31000</t>
  </si>
  <si>
    <t>Posgrado</t>
  </si>
  <si>
    <t>Jorge Ernesto Piscoya Príncipe</t>
  </si>
  <si>
    <t>Mg. Fany Yexenia Sobero Rodríguez</t>
  </si>
  <si>
    <t>09.02.24</t>
  </si>
  <si>
    <t>Mejora del proceso de desarrollo de sistemas de información del OSINFOR incorporando el método COSMIC</t>
  </si>
  <si>
    <t>Raúl Marca Quispe</t>
  </si>
  <si>
    <t>Mg. Efraín Ricardo Bautista Ubillús</t>
  </si>
  <si>
    <t>22.03.24</t>
  </si>
  <si>
    <t>Framework como guía para la definición del alcance de la externalización del desarrollo de aplicaciones mediante un modelo de software factory</t>
  </si>
  <si>
    <t>Albert Einstein Azabache Peña</t>
  </si>
  <si>
    <t>Dr. Frank Edmundo Escobedo Bailón</t>
  </si>
  <si>
    <t>El conocimiento del gobierno de TI permitirá determinar los factores de la implementación de un Módulo COBIT E-Learning dentro de la Currícula de Administración de la UNMSM</t>
  </si>
  <si>
    <t>Roxanna Fiorella Saldarriaga Cabrera</t>
  </si>
  <si>
    <t>Dr. Hugo Froilán Vega Huerta</t>
  </si>
  <si>
    <t>11.04.24</t>
  </si>
  <si>
    <t>Edición</t>
  </si>
  <si>
    <t>Emerging Trends in Cybersecurity Challenges with Reference to Pen Testing Tools in Society 5.0</t>
  </si>
  <si>
    <t>Título del capítulo</t>
  </si>
  <si>
    <t>Editorial</t>
  </si>
  <si>
    <t xml:space="preserve">Editorial internacional </t>
  </si>
  <si>
    <t>Autor</t>
  </si>
  <si>
    <r>
      <t xml:space="preserve">Ciro Rodríguez Rodríguez
</t>
    </r>
    <r>
      <rPr>
        <sz val="11"/>
        <color rgb="FFC00000"/>
        <rFont val="Calibri"/>
        <family val="2"/>
        <scheme val="minor"/>
      </rPr>
      <t>crodriguezro@unmsm.edu.pe</t>
    </r>
  </si>
  <si>
    <t>10.1201/9781003397052-18</t>
  </si>
  <si>
    <t>10.07.23</t>
  </si>
  <si>
    <t>Sistema de recomendación de artículos de línea blanca basado en el algoritmo KNN</t>
  </si>
  <si>
    <t>10.51252/rcsi.v3i2.557</t>
  </si>
  <si>
    <t>Latindex (Catalogo)</t>
  </si>
  <si>
    <t>30.12.23</t>
  </si>
  <si>
    <t>La inteligencia artificial en los marcadores tumorales</t>
  </si>
  <si>
    <t>Revista de investigación de sistemas e informática</t>
  </si>
  <si>
    <t>10.15381/risi.v16i2.27128</t>
  </si>
  <si>
    <r>
      <t xml:space="preserve">Luzmila Pro-Concepción
</t>
    </r>
    <r>
      <rPr>
        <sz val="11"/>
        <color rgb="FFC00000"/>
        <rFont val="Calibri"/>
        <family val="2"/>
        <scheme val="minor"/>
      </rPr>
      <t>lproc@unmsm.edu.pe</t>
    </r>
  </si>
  <si>
    <r>
      <t xml:space="preserve">Marco A. Coral-Ygnacio
</t>
    </r>
    <r>
      <rPr>
        <sz val="11"/>
        <color rgb="FFC00000"/>
        <rFont val="Calibri"/>
        <family val="2"/>
        <scheme val="minor"/>
      </rPr>
      <t>mcoraly@unmsm.edu.pe</t>
    </r>
  </si>
  <si>
    <r>
      <t xml:space="preserve">Augusto Cortez-Vasquez
</t>
    </r>
    <r>
      <rPr>
        <sz val="11"/>
        <color rgb="FFC00000"/>
        <rFont val="Calibri"/>
        <family val="2"/>
        <scheme val="minor"/>
      </rPr>
      <t>acortezv@unmsm.edu.pe</t>
    </r>
  </si>
  <si>
    <t>21.08.23</t>
  </si>
  <si>
    <t>Análisis y diseño de un PORTAL web para asistir al cuidado de pacientes con accidente cardiovascular</t>
  </si>
  <si>
    <t>10.15381/risi.v16i1.25454</t>
  </si>
  <si>
    <t>11.12.23</t>
  </si>
  <si>
    <t>IMPACTO DEL USO DE LAS TECNOLOGÍAS DE LA INFORMACIÓN EN LA AGRICULTURA DE PRECISIÓN</t>
  </si>
  <si>
    <t>Perfiles de Ingeniería</t>
  </si>
  <si>
    <t>10.31381/perfilesingenieria.v20i20.6368</t>
  </si>
  <si>
    <t>Robotic Automation of Application Registry Processes in State Organizations</t>
  </si>
  <si>
    <t>Scopus, ICImago Journal Rank</t>
  </si>
  <si>
    <t>10.18178/ijeetc.12.6.442-449</t>
  </si>
  <si>
    <t>International Journal of Electrical and Electronic Engineering &amp; Telecommunications</t>
  </si>
  <si>
    <t>31.12.23</t>
  </si>
  <si>
    <t>Fracasos en la implantación de aplicaciones informáticas empresariales: Casos de estudio y sus principales causas</t>
  </si>
  <si>
    <t>Revista Colombiana de Computación</t>
  </si>
  <si>
    <t>10.29375/25392115.4663</t>
  </si>
  <si>
    <t>Scopus</t>
  </si>
  <si>
    <r>
      <t xml:space="preserve">José Alfredo Herrera-Quispe
</t>
    </r>
    <r>
      <rPr>
        <sz val="11"/>
        <color rgb="FFC00000"/>
        <rFont val="Calibri"/>
        <family val="2"/>
        <scheme val="minor"/>
      </rPr>
      <t>jherreraqu@unmsm.edu.pe</t>
    </r>
  </si>
  <si>
    <r>
      <t xml:space="preserve">Cayo Víctor León-Fernández
</t>
    </r>
    <r>
      <rPr>
        <sz val="11"/>
        <color rgb="FFC00000"/>
        <rFont val="Calibri"/>
        <family val="2"/>
        <scheme val="minor"/>
      </rPr>
      <t>cleonf@unmsm.edu.pe</t>
    </r>
  </si>
  <si>
    <t>Gestión del conocimiento usando entornos virtuales para mejorar el aprendizaje en la producción de software</t>
  </si>
  <si>
    <t>10.15381/risi.v16i2.26393</t>
  </si>
  <si>
    <r>
      <t>Santiago Moquillaza Henriquez</t>
    </r>
    <r>
      <rPr>
        <sz val="11"/>
        <color rgb="FFC00000"/>
        <rFont val="Calibri"/>
        <family val="2"/>
        <scheme val="minor"/>
      </rPr>
      <t xml:space="preserve">
smoquillazah@unmsm.edu.pe
</t>
    </r>
    <r>
      <rPr>
        <sz val="11"/>
        <rFont val="Calibri"/>
        <family val="2"/>
        <scheme val="minor"/>
      </rPr>
      <t>Yudy Guzman Monteza</t>
    </r>
    <r>
      <rPr>
        <sz val="11"/>
        <color rgb="FFC00000"/>
        <rFont val="Calibri"/>
        <family val="2"/>
        <scheme val="minor"/>
      </rPr>
      <t xml:space="preserve">
yudi.guzman@unmsm.edu.pe</t>
    </r>
  </si>
  <si>
    <t>Sistemas de Prescripción y Medicación de Control Sanitario para Ciudadanos Vulnerables en el Perú</t>
  </si>
  <si>
    <t>10.15381/risi.v16i2.27143</t>
  </si>
  <si>
    <t>Implementation of a Transportable Radar Mode S of Monopulse Secondary Surveillance (MSSR-S) for the Peruvian Civil Aviation Surveillance</t>
  </si>
  <si>
    <t>TELECOM</t>
  </si>
  <si>
    <t>10.3390/telecom4040031</t>
  </si>
  <si>
    <t>Scopus, Emerging Source Citation Index (ESCI) of Web of Science</t>
  </si>
  <si>
    <r>
      <t xml:space="preserve">Ulises Román Concha
</t>
    </r>
    <r>
      <rPr>
        <sz val="11"/>
        <color rgb="FFC00000"/>
        <rFont val="Calibri"/>
        <family val="2"/>
        <scheme val="minor"/>
      </rPr>
      <t>nromanc@unmsm.edu.pe</t>
    </r>
  </si>
  <si>
    <r>
      <t xml:space="preserve">Ulises Román Concha
</t>
    </r>
    <r>
      <rPr>
        <sz val="11"/>
        <color rgb="FFC00000"/>
        <rFont val="Calibri"/>
        <family val="2"/>
        <scheme val="minor"/>
      </rPr>
      <t xml:space="preserve">nromanc@unmsm.edu.pe
</t>
    </r>
    <r>
      <rPr>
        <sz val="11"/>
        <rFont val="Calibri"/>
        <family val="2"/>
        <scheme val="minor"/>
      </rPr>
      <t>Carlos Chavez Herrera</t>
    </r>
    <r>
      <rPr>
        <sz val="11"/>
        <color rgb="FFC00000"/>
        <rFont val="Calibri"/>
        <family val="2"/>
        <scheme val="minor"/>
      </rPr>
      <t xml:space="preserve">
cchavezh@unmsm.edu.pe
</t>
    </r>
    <r>
      <rPr>
        <sz val="11"/>
        <rFont val="Calibri"/>
        <family val="2"/>
        <scheme val="minor"/>
      </rPr>
      <t>Pablo Romero Naupari</t>
    </r>
    <r>
      <rPr>
        <sz val="11"/>
        <color rgb="FFC00000"/>
        <rFont val="Calibri"/>
        <family val="2"/>
        <scheme val="minor"/>
      </rPr>
      <t xml:space="preserve">
promeron@unmsm.edu.pe</t>
    </r>
  </si>
  <si>
    <r>
      <rPr>
        <sz val="11"/>
        <rFont val="Calibri"/>
        <family val="2"/>
        <scheme val="minor"/>
      </rPr>
      <t>Carlos Chavez Herrera</t>
    </r>
    <r>
      <rPr>
        <sz val="11"/>
        <color rgb="FFC00000"/>
        <rFont val="Calibri"/>
        <family val="2"/>
        <scheme val="minor"/>
      </rPr>
      <t xml:space="preserve">
cchavezh@unmsm.edu.pe
</t>
    </r>
    <r>
      <rPr>
        <sz val="11"/>
        <rFont val="Calibri"/>
        <family val="2"/>
        <scheme val="minor"/>
      </rPr>
      <t>José Piedra Isusqui</t>
    </r>
    <r>
      <rPr>
        <sz val="11"/>
        <color rgb="FFC00000"/>
        <rFont val="Calibri"/>
        <family val="2"/>
        <scheme val="minor"/>
      </rPr>
      <t xml:space="preserve">
jpiedrai@unmsm.edu.pe</t>
    </r>
  </si>
  <si>
    <t>Chatbot based on Deep Learning for Recommending Relevant Products</t>
  </si>
  <si>
    <t>10.13053/CYS-27-2-4119</t>
  </si>
  <si>
    <t>Scopus, Web of Science</t>
  </si>
  <si>
    <r>
      <t>Hugo D. Calderon-Vilca</t>
    </r>
    <r>
      <rPr>
        <sz val="11"/>
        <color rgb="FFC00000"/>
        <rFont val="Calibri"/>
        <family val="2"/>
        <scheme val="minor"/>
      </rPr>
      <t xml:space="preserve">
hdcalderonv@unmsm.edu.pe </t>
    </r>
  </si>
  <si>
    <t>Explainable AI for Enhanced Interpretation of Liver Cirrhosis Biomarkers</t>
  </si>
  <si>
    <t>IEEE ACCES</t>
  </si>
  <si>
    <t>10.1109/ACCESS.2023.3329759</t>
  </si>
  <si>
    <t>Scopus, Web of Science, IEEE</t>
  </si>
  <si>
    <t>REPORTE DE PUBLICACIÓN DE CAPITULOS DE LIBRO</t>
  </si>
  <si>
    <t>03.10.23</t>
  </si>
  <si>
    <t>Método de Búsqueda Eficiente para Resolver el Problema de Identificación de Huella Dactilar Aplicando Machine Learning</t>
  </si>
  <si>
    <t>Maria Elena Ruiz Rivera</t>
  </si>
  <si>
    <t xml:space="preserve">Dr. Edgar Cruz Ruiz Lizama </t>
  </si>
  <si>
    <t>Jorge Ernesto Piscoya Principe</t>
  </si>
  <si>
    <t xml:space="preserve"> </t>
  </si>
  <si>
    <t>10-01-24</t>
  </si>
  <si>
    <t>Computer  libraries  used  in  analysis  of  dermatological  images  with  computational vision: a literature review</t>
  </si>
  <si>
    <t>10.51252/rcsi.v4i1.590</t>
  </si>
  <si>
    <t xml:space="preserve">REVISTA CIENTÍFICA DE SISTEMAS E INFORMÁTICA </t>
  </si>
  <si>
    <t>Visual selection in fruits: a systematic literature review</t>
  </si>
  <si>
    <t>10.51252/rcsi.v4i1.591</t>
  </si>
  <si>
    <t>Personnel selection system based on the selection algorithm</t>
  </si>
  <si>
    <t>05-02-24</t>
  </si>
  <si>
    <t>Revista DYNA</t>
  </si>
  <si>
    <t>10.15446/dyna.v91n231.110412</t>
  </si>
  <si>
    <t>Revista otros - artículo original</t>
  </si>
  <si>
    <t>INTERFASES</t>
  </si>
  <si>
    <t>10.26439/interfases2024.n19.6779</t>
  </si>
  <si>
    <t>Una Revisión Sistemática de Literatura de Implementaciones de Sistemas de Control de Tráfico</t>
  </si>
  <si>
    <t>14-02-24</t>
  </si>
  <si>
    <t xml:space="preserve">Revista Innovacion y Software </t>
  </si>
  <si>
    <t>Análisis de sentimiento en Twitter en relación a la tecnología IA para generación de imágenes</t>
  </si>
  <si>
    <t>30-03-24</t>
  </si>
  <si>
    <t>10.48168/innosoft.s15.a125</t>
  </si>
  <si>
    <t>11-04-24</t>
  </si>
  <si>
    <t>Journal of Autonomous Intelligence</t>
  </si>
  <si>
    <t>10.32629/jai.v7i5.1208</t>
  </si>
  <si>
    <t>Revista no indizada</t>
  </si>
  <si>
    <t>Aplicación cloud native en el contexto de una ingeniería de software continua</t>
  </si>
  <si>
    <t>E-Learning influences on student learning satisfaction levels in terms of learner's personalization</t>
  </si>
  <si>
    <t>23-05-24</t>
  </si>
  <si>
    <t>Interfases</t>
  </si>
  <si>
    <t>https://doi.org/10.26439/interfases2024.n19.7038</t>
  </si>
  <si>
    <r>
      <t xml:space="preserve">Marco Antonio Coral Ygnacio
</t>
    </r>
    <r>
      <rPr>
        <sz val="11"/>
        <color rgb="FFFF0000"/>
        <rFont val="Calibri"/>
        <family val="2"/>
        <scheme val="minor"/>
      </rPr>
      <t>mcoraly@unmsm.edu.pe</t>
    </r>
  </si>
  <si>
    <r>
      <t xml:space="preserve">Juan Carlos Gonzales Suarez
</t>
    </r>
    <r>
      <rPr>
        <sz val="11"/>
        <color rgb="FFFF0000"/>
        <rFont val="Calibri"/>
        <family val="2"/>
        <scheme val="minor"/>
      </rPr>
      <t>jgonzaless@unmsm.edu.pe</t>
    </r>
  </si>
  <si>
    <r>
      <t xml:space="preserve">Zoraida Mamani Rodriguez
</t>
    </r>
    <r>
      <rPr>
        <sz val="11"/>
        <color rgb="FFFF0000"/>
        <rFont val="Calibri"/>
        <family val="2"/>
        <scheme val="minor"/>
      </rPr>
      <t>zmamanir@unmsm.edu.pe</t>
    </r>
  </si>
  <si>
    <r>
      <t xml:space="preserve">Carlos Edmundo Navarro Depaz
</t>
    </r>
    <r>
      <rPr>
        <sz val="11"/>
        <color rgb="FFFF0000"/>
        <rFont val="Calibri"/>
        <family val="2"/>
        <scheme val="minor"/>
      </rPr>
      <t>cnavarrod@unmsm.edu.pe</t>
    </r>
    <r>
      <rPr>
        <sz val="11"/>
        <color theme="1"/>
        <rFont val="Calibri"/>
        <family val="2"/>
        <scheme val="minor"/>
      </rPr>
      <t xml:space="preserve">
Norberto Uises Roman Concha
</t>
    </r>
    <r>
      <rPr>
        <sz val="11"/>
        <color rgb="FFFF0000"/>
        <rFont val="Calibri"/>
        <family val="2"/>
        <scheme val="minor"/>
      </rPr>
      <t>nromanc@unmsm.edu.pe</t>
    </r>
    <r>
      <rPr>
        <sz val="11"/>
        <color theme="1"/>
        <rFont val="Calibri"/>
        <family val="2"/>
        <scheme val="minor"/>
      </rPr>
      <t xml:space="preserve">
Ciro Rodriguez Rodriguez
</t>
    </r>
    <r>
      <rPr>
        <sz val="11"/>
        <color rgb="FFFF0000"/>
        <rFont val="Calibri"/>
        <family val="2"/>
        <scheme val="minor"/>
      </rPr>
      <t>crodriguezro@unmsm.edu.pe</t>
    </r>
    <r>
      <rPr>
        <sz val="11"/>
        <color theme="1"/>
        <rFont val="Calibri"/>
        <family val="2"/>
        <scheme val="minor"/>
      </rPr>
      <t xml:space="preserve">
Pedro Martin Lezama Gonzales
</t>
    </r>
    <r>
      <rPr>
        <sz val="11"/>
        <color rgb="FFFF0000"/>
        <rFont val="Calibri"/>
        <family val="2"/>
        <scheme val="minor"/>
      </rPr>
      <t>plezamag@unmsm.edu.pe</t>
    </r>
  </si>
  <si>
    <t>010238-2024
07/08/2024</t>
  </si>
  <si>
    <t>C24200421i</t>
  </si>
  <si>
    <t>Trípode Inteligente para tomar fotos tipo selfie hasta 10 metros de distancia</t>
  </si>
  <si>
    <t>Innovando Sistemas Inteligentes (YACHAY)</t>
  </si>
  <si>
    <t>Benito Pacheco Oscar
Cabrera Diaz Javier Elmer
Camara Figueroa Adegundo Mario
Guerra Grados Luis Angel
Pantoja Collantes Jorge Santiago
Puelles Bulnes Maria Elizabeth</t>
  </si>
  <si>
    <t>Lazaro Guillermo Juan Carlos
Maquen Niño Gisella Luisa Elena
Montes Encarnación Oscar
Ortiz Atiquipa Flora Floresa</t>
  </si>
  <si>
    <t>Bayona Oré Luz Sussy
Del Pino Rodriguez Luz Corina</t>
  </si>
  <si>
    <t>Gonzales Suárez Juan Carlos
Mamani Rodriguez Zoraida Emperatriz</t>
  </si>
  <si>
    <t>BASE DE DATOS INSTITUTO DE INVESTIGACIÓN FISI 2024</t>
  </si>
  <si>
    <t>Benito Pacheco Oscar
De La Cruz Velez De Villa Percy Edwin
Moquillaza Henriquez Santiago Domingo</t>
  </si>
  <si>
    <t>Ato Pulido Diana Romina
Benites Gonzales Angely Sefora
Bustamante Retamozo Alberto Carlos
Hidalgo Pereda Lyses Augusto
Huarcaya Gonzales Sandra
López Córdova Frida Mereyda
Melgarejo Solis Ronald Alfonso
Paredes Neyra Erika Rubí</t>
  </si>
  <si>
    <t>Barrera Cajachagua Maria Laura
De Souza Huanilo Diana Carolina
Flores Ortiz Isaac Donovan
Lazaro Guillermo Juan Carlos
Maquen Niño Gisella Luisa Elena
Montes Encarnación Oscar
Ortiz Atiquipa Flora Floresa</t>
  </si>
  <si>
    <t>Guerra Grados Luis Angel
Puelles Bulnes María Elizabeth
Vega Huerta Hugo Froilan</t>
  </si>
  <si>
    <t>Ato Pulido Diana Romina
Benites Gonzales Angely Sefora
Bustamante Retamozo Alberto Carlos
Candela Arce David Félix
Huarcaya Gonzales Sandra
López Córdova Frida Mereyda
Melgarejo Solis Ronald Alfonso
Paredes Neyra Erika Rubí</t>
  </si>
  <si>
    <t>Adrianzen Olano Ivan
Atoche Espinoza Vicente
Lazaro Guillermo Juan Carlos
Maquen Niño Gisella Luisa Elena
Montes Encarnación Oscar
Ortiz Atiquipa Flora Floresa</t>
  </si>
  <si>
    <t>Benito Pacheco Oscar
Guerra Grados Luis Angel
Vega Huerta Hugo Froilan</t>
  </si>
  <si>
    <t>Hidalgo Pereda Lyses Augusto
López Córdova Frida Mereyda
Melgarejo Solis Ronald Alfonso</t>
  </si>
  <si>
    <t>Atoche Espinoza Vicente
Atoche Puelles Angie
Montes Encarnación Oscar</t>
  </si>
  <si>
    <t>Chávez Herrera Carlos Ernesto
Lezama Gonzales Pedro Martín
Navarro Depaz Carlos Edmundo
Petrlik Azabache Iván Carlo
Romero Naupari Pablo Jesús</t>
  </si>
  <si>
    <t>Barbosa Motta Branimir Rai
Mayor Coloma Fabrizio</t>
  </si>
  <si>
    <t>Aguilar Alonso Igor Jovino
Valcárcel Ascencios Sergio Paulo</t>
  </si>
  <si>
    <t>Cabrera Díaz Javier Elmer
Gil Calvo Rubén Alexander
Guerra Grados Luis Angel
Vega Huerta Hugo Froilan</t>
  </si>
  <si>
    <t>Calcina Aguilar Brayan Esthiver
Candela Arce David Félix
Gutiérrez Mejía Fernando Alberto
Hidalgo Pereda Lyses Augusto</t>
  </si>
  <si>
    <t>Barrera Cajachagua María Laura
Maquen Niño Gisella Luisa Elena
Montes Encarnación Oscar</t>
  </si>
  <si>
    <t>I. Proyectos de Investigación con Financiamiento para Grupos de Investigación Año 2024</t>
  </si>
  <si>
    <t>II. Proyectos de Innovación con Financiamiento para Grupos de Investigación Año 2024</t>
  </si>
  <si>
    <t>III. Programa de Proyectos de Investigación Multidisciplinarios para Grupos de Investigación de la Universidad Nacional Mayor de San Marcos Año 2024</t>
  </si>
  <si>
    <t>011632-2024
13/09/2024</t>
  </si>
  <si>
    <t>C2420009m</t>
  </si>
  <si>
    <t>Agricultura Inteligente mediante IOT y Drones para el Monitoreo y Detección de Plagas y Enfermedades en Cultivos Agrícolas Diversificados</t>
  </si>
  <si>
    <t>Gamboa Cruzado Javier Arturo</t>
  </si>
  <si>
    <t>Soto Soto Luis</t>
  </si>
  <si>
    <t>Salcedo Isla Juan Ruben (pregrado)
Solis Gutierrez Cesar Eduardo (posgrado)</t>
  </si>
  <si>
    <t>Fuente: RAIS al 25-09-24</t>
  </si>
  <si>
    <t>iot</t>
  </si>
  <si>
    <t>biomedit</t>
  </si>
  <si>
    <t>itdata</t>
  </si>
  <si>
    <t>yachay</t>
  </si>
  <si>
    <t>intgarti</t>
  </si>
  <si>
    <t>GI</t>
  </si>
  <si>
    <t>A Performance Evaluation of Convolutional Neural Network Architectures for Pterygium Detection in Anterior Segment Eye Images</t>
  </si>
  <si>
    <t>Classification of Alzheimer’s Disease Based on Deep Learning Using Medical Images</t>
  </si>
  <si>
    <t>Development of a credit risk evaluation system using multilayer neural networks</t>
  </si>
  <si>
    <t>Explainable Machine Learning Models for Brain Diseases: Insights from a Systematic Review</t>
  </si>
  <si>
    <t>Factores internos y externos que inciden en la investigación científica en estudiantes de posgrado</t>
  </si>
  <si>
    <t>Factors, Predictability, and Explainability of Mobile Telephony Customer Departure in Telecommunications Companies: A Systematic Review of the Literature</t>
  </si>
  <si>
    <t>Factors, Prediction, and Explainability of Vehicle Accident Risk Due to Driving Behavior through Machine Learning: A Systematic Literature Review, 2013–2023</t>
  </si>
  <si>
    <t>Grafías andinas prehispánicas como soportes sígnicos de información de la cultura andina en el Perú = Pre-Hispanic Andean spellings as sign media of information of the andean culture in Peru</t>
  </si>
  <si>
    <t>Innovative AI-driven design of patient-specific short femoral stems in primary hip arthroplasty</t>
  </si>
  <si>
    <t>Integration of the Peruvian Citizen’s Public Information by Applying Web Scraping Under SCRUM Methodology</t>
  </si>
  <si>
    <t>Inteligencia artificial para la conciencia y orientación en entornos educativos</t>
  </si>
  <si>
    <t>Maximizing Survival in Pediatric Congenital Cardiac Surgery Using Machine Learning, Explainability, and Simulation Techniques</t>
  </si>
  <si>
    <t>Model for identifying Business-IT alignment factors in service level management practices</t>
  </si>
  <si>
    <t>Optimizing Time in Horizontal Mining Excavations: 10 Formats Inspired by Value Stream Mapping Principles</t>
  </si>
  <si>
    <t>Un sistema de enseñanza-aprendizaje para sumas y restas basado en el método del juego = A teaching-learning system for addition and subtraction based on the game method</t>
  </si>
  <si>
    <t>Uso de Tecnología NFC equipado con geolocalización y código QR para control de asistencia en las PYMES = Use of NFC Technology equipped with geolocation and QR code for attendance control in SMEs</t>
  </si>
  <si>
    <t>REPORTE DE PUBLICACIÓN DE ARTÍCULOS N°02-VDIP-FISI-2024</t>
  </si>
  <si>
    <t>inwe</t>
  </si>
  <si>
    <t>Fuente: RAIS al 27-11-24</t>
  </si>
  <si>
    <t>REPORTE DE PUBLICACIÓN DE ARTÍCULOS N°01-VDIP-FISI-2024</t>
  </si>
  <si>
    <t>REPORTE DE PUBLICACIÓN DE ARTÍCULOS N°03-VDIP-FISI-2024</t>
  </si>
  <si>
    <t>13-09-24</t>
  </si>
  <si>
    <t>Diagnostics</t>
  </si>
  <si>
    <t>10.3390/diagnostics14182026</t>
  </si>
  <si>
    <t>10.3991/ijoe.v20i10.49089</t>
  </si>
  <si>
    <t>16-07-24</t>
  </si>
  <si>
    <t>IJOE</t>
  </si>
  <si>
    <t>Percy Edwin De La Cruz Velez De Villa
Hugo Froilán Vega Huerta
Luis Ángel Guerra Grados</t>
  </si>
  <si>
    <t>David Santos Mauricio Sánchez</t>
  </si>
  <si>
    <t>01-01-24</t>
  </si>
  <si>
    <t>Material Science &amp; Engineering International Journal</t>
  </si>
  <si>
    <t>Marco Antonio Coral Ygnacio</t>
  </si>
  <si>
    <t>10.15406/mseij.2024.08.00228</t>
  </si>
  <si>
    <t>Libro pág. 196-212</t>
  </si>
  <si>
    <t>Ciro Rodriguez Rodriguez</t>
  </si>
  <si>
    <t>Neurology International</t>
  </si>
  <si>
    <t>10.3390/neurolint16060098</t>
  </si>
  <si>
    <t>Revista otros - artículo de revisión</t>
  </si>
  <si>
    <t>29-10-24</t>
  </si>
  <si>
    <t>10.47865/igob.vol7.n26.2024.345</t>
  </si>
  <si>
    <t>Nilo Eloy Carrasco Ore</t>
  </si>
  <si>
    <t>igobernanza.org</t>
  </si>
  <si>
    <t>29-06-24</t>
  </si>
  <si>
    <t>IEEE Access</t>
  </si>
  <si>
    <t>Revista Scopus, Web of Science</t>
  </si>
  <si>
    <t>10.1109/ACCESS.2024.3443318</t>
  </si>
  <si>
    <t>14-08-24</t>
  </si>
  <si>
    <t>28-06-24</t>
  </si>
  <si>
    <t>10.3390/computation12070131</t>
  </si>
  <si>
    <t>24-06-24</t>
  </si>
  <si>
    <t>Norberto Ulises Román Concha</t>
  </si>
  <si>
    <t>10.62428/rcvp2024311820</t>
  </si>
  <si>
    <t>Revista Latindex (Catalogo)</t>
  </si>
  <si>
    <t>Cátedra Villarreal posgrado</t>
  </si>
  <si>
    <t>21-03-24</t>
  </si>
  <si>
    <t>Materials &amp; design</t>
  </si>
  <si>
    <t>10.1016/j.matdes.2024.112868</t>
  </si>
  <si>
    <t>9th Brazilian Technology Symposium (BTSym’23)</t>
  </si>
  <si>
    <t>Hugo Froilán Vega Huerta, Percy Edwin De La Cruz Velez De Villa/
Ernesto David Cancho Rodriguez</t>
  </si>
  <si>
    <t>yachay/
itdata</t>
  </si>
  <si>
    <t>24-10-24
26-10-24</t>
  </si>
  <si>
    <t>11-09-24</t>
  </si>
  <si>
    <t>Libro total págs. 129</t>
  </si>
  <si>
    <t>15-11-24</t>
  </si>
  <si>
    <t>Journal of Clinical Medicine</t>
  </si>
  <si>
    <t>10.3390/jcm13226872</t>
  </si>
  <si>
    <t>29-02-24</t>
  </si>
  <si>
    <t>Journal of engineering science &amp; technology</t>
  </si>
  <si>
    <t>David Santos mauricio Sánchez
Lenis Rossi Wong Portillo</t>
  </si>
  <si>
    <t>10.18280/jesa.570221</t>
  </si>
  <si>
    <t>Journal Européen des Systèmes Automatisés</t>
  </si>
  <si>
    <t>Revista Scopus</t>
  </si>
  <si>
    <t>Hugo David Calderón Vilca</t>
  </si>
  <si>
    <t>Revista no indizadas - artículo original</t>
  </si>
  <si>
    <t>10.15381/risi.v17i1.28958</t>
  </si>
  <si>
    <t>Revista de Investigación de Sistemas e Informática (RISI)</t>
  </si>
  <si>
    <t>31-07-24</t>
  </si>
  <si>
    <t>24-09-24</t>
  </si>
  <si>
    <t>Augusto Parcemón Cortez Vásquez</t>
  </si>
  <si>
    <t>10.15381/risi.v17i1.28950</t>
  </si>
  <si>
    <t>Revista Web of Science, Scopus, DOAJ (Directory of Open Access Journal)</t>
  </si>
  <si>
    <t>Revista Latindex (catálogo)</t>
  </si>
  <si>
    <t>Revista Web of Science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</si>
</sst>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2" x14ac:knownFonts="1">
    <font>
      <sz val="11"/>
      <color theme="1"/>
      <name val="Calibri"/>
      <family val="2"/>
      <scheme val="minor"/>
    </font>
    <font>
      <b/>
      <sz val="11"/>
      <color theme="1"/>
      <name val="Calibri"/>
      <family val="2"/>
      <scheme val="minor"/>
    </font>
    <font>
      <b/>
      <sz val="9"/>
      <color theme="1"/>
      <name val="Calibri"/>
      <family val="2"/>
      <scheme val="minor"/>
    </font>
    <font>
      <sz val="8"/>
      <name val="Calibri"/>
      <family val="2"/>
      <scheme val="minor"/>
    </font>
    <font>
      <b/>
      <sz val="10"/>
      <color theme="1"/>
      <name val="Calibri"/>
      <family val="2"/>
      <scheme val="minor"/>
    </font>
    <font>
      <sz val="10"/>
      <color theme="1"/>
      <name val="Calibri"/>
      <family val="2"/>
      <scheme val="minor"/>
    </font>
    <font>
      <sz val="11"/>
      <color rgb="FFC00000"/>
      <name val="Calibri"/>
      <family val="2"/>
      <scheme val="minor"/>
    </font>
    <font>
      <sz val="11"/>
      <name val="Calibri"/>
      <family val="2"/>
      <scheme val="minor"/>
    </font>
    <font>
      <b/>
      <sz val="11"/>
      <name val="Calibri"/>
      <family val="2"/>
      <scheme val="minor"/>
    </font>
    <font>
      <sz val="11"/>
      <color rgb="FFFF0000"/>
      <name val="Calibri"/>
      <family val="2"/>
      <scheme val="minor"/>
    </font>
    <font>
      <sz val="9"/>
      <color theme="1"/>
      <name val="Calibri"/>
      <family val="2"/>
      <scheme val="minor"/>
    </font>
    <font>
      <sz val="8"/>
      <color theme="1"/>
      <name val="Calibri"/>
      <family val="2"/>
      <scheme val="minor"/>
    </font>
  </fonts>
  <fills count="7">
    <fill>
      <patternFill patternType="none"/>
    </fill>
    <fill>
      <patternFill patternType="gray125"/>
    </fill>
    <fill>
      <patternFill patternType="solid">
        <fgColor rgb="FFD9D9EB"/>
        <bgColor indexed="64"/>
      </patternFill>
    </fill>
    <fill>
      <patternFill patternType="solid">
        <fgColor theme="9" tint="0.59999389629810485"/>
        <bgColor indexed="64"/>
      </patternFill>
    </fill>
    <fill>
      <patternFill patternType="solid">
        <fgColor rgb="FFFFFF00"/>
        <bgColor indexed="64"/>
      </patternFill>
    </fill>
    <fill>
      <patternFill patternType="solid">
        <fgColor theme="9" tint="0.39997558519241921"/>
        <bgColor indexed="64"/>
      </patternFill>
    </fill>
    <fill>
      <patternFill patternType="solid">
        <fgColor theme="5" tint="0.39997558519241921"/>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right style="thin">
        <color indexed="64"/>
      </right>
      <top style="thin">
        <color indexed="64"/>
      </top>
      <bottom/>
      <diagonal/>
    </border>
  </borders>
  <cellStyleXfs count="1">
    <xf numFmtId="0" fontId="0" fillId="0" borderId="0"/>
  </cellStyleXfs>
  <cellXfs count="130">
    <xf numFmtId="0" fontId="0" fillId="0" borderId="0" xfId="0"/>
    <xf numFmtId="0" fontId="0" fillId="0" borderId="0" xfId="0" applyAlignment="1">
      <alignment horizontal="center"/>
    </xf>
    <xf numFmtId="0" fontId="1" fillId="0" borderId="2" xfId="0" applyFont="1" applyBorder="1" applyAlignment="1">
      <alignment horizontal="center" vertical="center"/>
    </xf>
    <xf numFmtId="0" fontId="0" fillId="0" borderId="0" xfId="0" applyAlignment="1">
      <alignment vertical="center"/>
    </xf>
    <xf numFmtId="0" fontId="5" fillId="0" borderId="0" xfId="0" applyFont="1" applyAlignment="1">
      <alignment horizontal="center"/>
    </xf>
    <xf numFmtId="0" fontId="0" fillId="0" borderId="0" xfId="0" applyAlignment="1">
      <alignment horizontal="left"/>
    </xf>
    <xf numFmtId="0" fontId="0" fillId="0" borderId="1" xfId="0" applyBorder="1" applyAlignment="1">
      <alignment horizontal="left" vertical="top" wrapText="1"/>
    </xf>
    <xf numFmtId="0" fontId="0" fillId="0" borderId="1" xfId="0" applyBorder="1" applyAlignment="1">
      <alignment vertical="top" wrapText="1"/>
    </xf>
    <xf numFmtId="0" fontId="0" fillId="0" borderId="1" xfId="0" applyBorder="1" applyAlignment="1">
      <alignment horizontal="left" vertical="top"/>
    </xf>
    <xf numFmtId="0" fontId="1" fillId="0" borderId="0" xfId="0" applyFont="1" applyAlignment="1">
      <alignment horizontal="center" vertical="center"/>
    </xf>
    <xf numFmtId="0" fontId="0" fillId="0" borderId="0" xfId="0" applyAlignment="1">
      <alignment horizontal="left" vertical="top"/>
    </xf>
    <xf numFmtId="0" fontId="0" fillId="2" borderId="1" xfId="0" applyFill="1" applyBorder="1" applyAlignment="1">
      <alignment horizontal="center" vertical="center"/>
    </xf>
    <xf numFmtId="0" fontId="0" fillId="2" borderId="1" xfId="0" applyFill="1" applyBorder="1" applyAlignment="1">
      <alignment horizontal="center" vertical="center" wrapText="1"/>
    </xf>
    <xf numFmtId="0" fontId="1" fillId="2" borderId="1" xfId="0" applyFont="1" applyFill="1" applyBorder="1" applyAlignment="1">
      <alignment horizontal="center" vertical="center"/>
    </xf>
    <xf numFmtId="0" fontId="1" fillId="2" borderId="1" xfId="0" applyFont="1" applyFill="1" applyBorder="1" applyAlignment="1">
      <alignment vertical="center" wrapText="1"/>
    </xf>
    <xf numFmtId="0" fontId="1" fillId="2" borderId="3" xfId="0" applyFont="1" applyFill="1" applyBorder="1" applyAlignment="1">
      <alignment vertical="center" wrapText="1"/>
    </xf>
    <xf numFmtId="0" fontId="1" fillId="2" borderId="3" xfId="0" applyFont="1" applyFill="1" applyBorder="1" applyAlignment="1">
      <alignment horizontal="center" vertical="center" wrapText="1"/>
    </xf>
    <xf numFmtId="0" fontId="4" fillId="2" borderId="3" xfId="0" applyFont="1" applyFill="1" applyBorder="1" applyAlignment="1">
      <alignment horizontal="center" vertical="center"/>
    </xf>
    <xf numFmtId="0" fontId="4" fillId="2" borderId="3" xfId="0" applyFont="1" applyFill="1" applyBorder="1" applyAlignment="1">
      <alignment horizontal="center" vertical="center" wrapText="1"/>
    </xf>
    <xf numFmtId="0" fontId="4" fillId="2" borderId="3" xfId="0" applyFont="1" applyFill="1" applyBorder="1" applyAlignment="1">
      <alignment horizontal="center" wrapText="1"/>
    </xf>
    <xf numFmtId="0" fontId="4" fillId="2" borderId="9" xfId="0" applyFont="1" applyFill="1" applyBorder="1" applyAlignment="1">
      <alignment horizontal="center" vertical="center" wrapText="1"/>
    </xf>
    <xf numFmtId="0" fontId="0" fillId="0" borderId="8" xfId="0" applyBorder="1" applyAlignment="1">
      <alignment horizontal="center" vertical="top"/>
    </xf>
    <xf numFmtId="0" fontId="0" fillId="3" borderId="1" xfId="0" applyFill="1" applyBorder="1" applyAlignment="1">
      <alignment horizontal="center" vertical="top"/>
    </xf>
    <xf numFmtId="0" fontId="0" fillId="3" borderId="1" xfId="0" applyFill="1" applyBorder="1" applyAlignment="1">
      <alignment vertical="top"/>
    </xf>
    <xf numFmtId="0" fontId="0" fillId="3" borderId="1" xfId="0" applyFill="1" applyBorder="1" applyAlignment="1">
      <alignment vertical="top" wrapText="1"/>
    </xf>
    <xf numFmtId="0" fontId="8" fillId="0" borderId="0" xfId="0" applyFont="1" applyAlignment="1">
      <alignment horizontal="center" vertical="center"/>
    </xf>
    <xf numFmtId="0" fontId="8" fillId="2" borderId="1" xfId="0" applyFont="1" applyFill="1" applyBorder="1" applyAlignment="1">
      <alignment vertical="center" wrapText="1"/>
    </xf>
    <xf numFmtId="0" fontId="7" fillId="0" borderId="0" xfId="0" applyFont="1"/>
    <xf numFmtId="0" fontId="0" fillId="0" borderId="1" xfId="0" applyBorder="1" applyAlignment="1">
      <alignment horizontal="center" vertical="top"/>
    </xf>
    <xf numFmtId="0" fontId="1" fillId="0" borderId="0" xfId="0" applyFont="1" applyAlignment="1">
      <alignment horizontal="center" vertical="center"/>
    </xf>
    <xf numFmtId="0" fontId="1" fillId="0" borderId="0" xfId="0" applyFont="1" applyAlignment="1">
      <alignment horizontal="center" vertical="center"/>
    </xf>
    <xf numFmtId="0" fontId="0" fillId="0" borderId="0" xfId="0" applyFill="1"/>
    <xf numFmtId="0" fontId="0" fillId="0" borderId="1" xfId="0" applyFill="1" applyBorder="1" applyAlignment="1">
      <alignment horizontal="center" vertical="top"/>
    </xf>
    <xf numFmtId="0" fontId="0" fillId="0" borderId="1" xfId="0" applyFill="1" applyBorder="1" applyAlignment="1">
      <alignment vertical="top"/>
    </xf>
    <xf numFmtId="0" fontId="0" fillId="0" borderId="1" xfId="0" applyFill="1" applyBorder="1" applyAlignment="1">
      <alignment vertical="top" wrapText="1"/>
    </xf>
    <xf numFmtId="0" fontId="7" fillId="0" borderId="1" xfId="0" applyFont="1" applyFill="1" applyBorder="1" applyAlignment="1">
      <alignment horizontal="left" vertical="top" wrapText="1"/>
    </xf>
    <xf numFmtId="0" fontId="0" fillId="0" borderId="1" xfId="0" applyFill="1" applyBorder="1" applyAlignment="1">
      <alignment horizontal="left" vertical="top" wrapText="1"/>
    </xf>
    <xf numFmtId="0" fontId="0" fillId="0" borderId="1" xfId="0" applyFill="1" applyBorder="1"/>
    <xf numFmtId="0" fontId="0" fillId="0" borderId="1" xfId="0" applyFill="1" applyBorder="1" applyAlignment="1">
      <alignment horizontal="left" vertical="top"/>
    </xf>
    <xf numFmtId="0" fontId="0" fillId="0" borderId="6" xfId="0" applyFill="1" applyBorder="1" applyAlignment="1">
      <alignment vertical="top" wrapText="1"/>
    </xf>
    <xf numFmtId="0" fontId="0" fillId="0" borderId="3" xfId="0" applyFill="1" applyBorder="1" applyAlignment="1">
      <alignment horizontal="left" vertical="top" wrapText="1"/>
    </xf>
    <xf numFmtId="49" fontId="0" fillId="0" borderId="1" xfId="0" applyNumberFormat="1" applyFill="1" applyBorder="1" applyAlignment="1">
      <alignment horizontal="center" vertical="top"/>
    </xf>
    <xf numFmtId="49" fontId="1" fillId="0" borderId="0" xfId="0" applyNumberFormat="1" applyFont="1" applyAlignment="1">
      <alignment horizontal="center" vertical="center"/>
    </xf>
    <xf numFmtId="49" fontId="1" fillId="2" borderId="1" xfId="0" applyNumberFormat="1" applyFont="1" applyFill="1" applyBorder="1" applyAlignment="1">
      <alignment horizontal="center" vertical="center"/>
    </xf>
    <xf numFmtId="49" fontId="0" fillId="0" borderId="0" xfId="0" applyNumberFormat="1" applyAlignment="1">
      <alignment horizontal="center"/>
    </xf>
    <xf numFmtId="0" fontId="0" fillId="0" borderId="7" xfId="0" applyFill="1" applyBorder="1" applyAlignment="1">
      <alignment horizontal="left" vertical="top" wrapText="1"/>
    </xf>
    <xf numFmtId="0" fontId="0" fillId="0" borderId="1" xfId="0" applyFill="1" applyBorder="1" applyAlignment="1">
      <alignment horizontal="center" vertical="top" wrapText="1"/>
    </xf>
    <xf numFmtId="0" fontId="0" fillId="0" borderId="0" xfId="0" applyAlignment="1">
      <alignment vertical="top"/>
    </xf>
    <xf numFmtId="0" fontId="0" fillId="0" borderId="0" xfId="0" applyFill="1" applyBorder="1" applyAlignment="1">
      <alignment horizontal="center" vertical="top"/>
    </xf>
    <xf numFmtId="0" fontId="0" fillId="0" borderId="0" xfId="0" applyFill="1" applyBorder="1" applyAlignment="1">
      <alignment horizontal="center" vertical="top" wrapText="1"/>
    </xf>
    <xf numFmtId="0" fontId="0" fillId="0" borderId="0" xfId="0" applyFill="1" applyBorder="1" applyAlignment="1">
      <alignment horizontal="left" vertical="top" wrapText="1"/>
    </xf>
    <xf numFmtId="0" fontId="0" fillId="0" borderId="0" xfId="0" applyFill="1" applyBorder="1" applyAlignment="1">
      <alignment wrapText="1"/>
    </xf>
    <xf numFmtId="0" fontId="0" fillId="0" borderId="0" xfId="0" applyFill="1" applyBorder="1" applyAlignment="1">
      <alignment horizontal="left" wrapText="1"/>
    </xf>
    <xf numFmtId="0" fontId="0" fillId="0" borderId="0" xfId="0" applyFill="1" applyBorder="1" applyAlignment="1">
      <alignment horizontal="center"/>
    </xf>
    <xf numFmtId="0" fontId="0" fillId="0" borderId="0" xfId="0" applyFill="1" applyBorder="1" applyAlignment="1">
      <alignment vertical="top" wrapText="1"/>
    </xf>
    <xf numFmtId="0" fontId="0" fillId="0" borderId="0" xfId="0" applyBorder="1"/>
    <xf numFmtId="0" fontId="0" fillId="0" borderId="3" xfId="0" applyFill="1" applyBorder="1" applyAlignment="1">
      <alignment vertical="top" wrapText="1"/>
    </xf>
    <xf numFmtId="0" fontId="0" fillId="0" borderId="4" xfId="0" applyFill="1" applyBorder="1" applyAlignment="1">
      <alignment vertical="top" wrapText="1"/>
    </xf>
    <xf numFmtId="0" fontId="0" fillId="0" borderId="4" xfId="0" applyFill="1" applyBorder="1" applyAlignment="1">
      <alignment horizontal="center" vertical="top"/>
    </xf>
    <xf numFmtId="0" fontId="0" fillId="0" borderId="7" xfId="0" applyFill="1" applyBorder="1" applyAlignment="1">
      <alignment vertical="top"/>
    </xf>
    <xf numFmtId="0" fontId="0" fillId="0" borderId="4" xfId="0" applyFill="1" applyBorder="1" applyAlignment="1">
      <alignment vertical="top"/>
    </xf>
    <xf numFmtId="0" fontId="0" fillId="0" borderId="8" xfId="0" applyFill="1" applyBorder="1" applyAlignment="1">
      <alignment vertical="top" wrapText="1"/>
    </xf>
    <xf numFmtId="0" fontId="0" fillId="0" borderId="7" xfId="0" applyFill="1" applyBorder="1" applyAlignment="1">
      <alignment vertical="top" wrapText="1"/>
    </xf>
    <xf numFmtId="0" fontId="0" fillId="0" borderId="5" xfId="0" applyFill="1" applyBorder="1" applyAlignment="1">
      <alignment vertical="top" wrapText="1"/>
    </xf>
    <xf numFmtId="0" fontId="0" fillId="0" borderId="1" xfId="0" applyFill="1" applyBorder="1" applyAlignment="1">
      <alignment vertical="center"/>
    </xf>
    <xf numFmtId="0" fontId="4" fillId="2" borderId="1" xfId="0" applyFont="1" applyFill="1" applyBorder="1" applyAlignment="1">
      <alignment horizontal="center" vertical="center" wrapText="1"/>
    </xf>
    <xf numFmtId="0" fontId="4" fillId="2" borderId="1" xfId="0" applyFont="1" applyFill="1" applyBorder="1" applyAlignment="1">
      <alignment horizontal="center" vertical="center"/>
    </xf>
    <xf numFmtId="0" fontId="4" fillId="2" borderId="1" xfId="0" applyFont="1" applyFill="1" applyBorder="1" applyAlignment="1">
      <alignment horizontal="center" wrapText="1"/>
    </xf>
    <xf numFmtId="0" fontId="10" fillId="0" borderId="0" xfId="0" applyFont="1" applyAlignment="1"/>
    <xf numFmtId="0" fontId="0" fillId="0" borderId="0" xfId="0" applyBorder="1" applyAlignment="1">
      <alignment horizontal="left"/>
    </xf>
    <xf numFmtId="0" fontId="0" fillId="0" borderId="0" xfId="0" applyBorder="1" applyAlignment="1">
      <alignment horizontal="left" vertical="top"/>
    </xf>
    <xf numFmtId="0" fontId="0" fillId="0" borderId="0" xfId="0" applyFill="1" applyBorder="1"/>
    <xf numFmtId="0" fontId="0" fillId="4" borderId="1" xfId="0" applyFill="1" applyBorder="1" applyAlignment="1">
      <alignment horizontal="center" vertical="top"/>
    </xf>
    <xf numFmtId="49" fontId="0" fillId="4" borderId="1" xfId="0" applyNumberFormat="1" applyFill="1" applyBorder="1" applyAlignment="1">
      <alignment horizontal="center" vertical="top"/>
    </xf>
    <xf numFmtId="0" fontId="7" fillId="4" borderId="1" xfId="0" applyFont="1" applyFill="1" applyBorder="1" applyAlignment="1">
      <alignment horizontal="left" vertical="top" wrapText="1"/>
    </xf>
    <xf numFmtId="0" fontId="0" fillId="4" borderId="1" xfId="0" applyFill="1" applyBorder="1" applyAlignment="1">
      <alignment horizontal="left" vertical="top" wrapText="1"/>
    </xf>
    <xf numFmtId="0" fontId="0" fillId="4" borderId="1" xfId="0" applyFill="1" applyBorder="1" applyAlignment="1">
      <alignment vertical="top"/>
    </xf>
    <xf numFmtId="0" fontId="0" fillId="4" borderId="1" xfId="0" applyFill="1" applyBorder="1"/>
    <xf numFmtId="0" fontId="0" fillId="4" borderId="1" xfId="0" applyFill="1" applyBorder="1" applyAlignment="1">
      <alignment horizontal="left" vertical="top"/>
    </xf>
    <xf numFmtId="0" fontId="7" fillId="4" borderId="1" xfId="0" applyFont="1" applyFill="1" applyBorder="1" applyAlignment="1">
      <alignment wrapText="1"/>
    </xf>
    <xf numFmtId="0" fontId="0" fillId="4" borderId="1" xfId="0" applyFill="1" applyBorder="1" applyAlignment="1">
      <alignment vertical="top" wrapText="1"/>
    </xf>
    <xf numFmtId="0" fontId="7" fillId="4" borderId="1" xfId="0" applyFont="1" applyFill="1" applyBorder="1" applyAlignment="1">
      <alignment vertical="top" wrapText="1"/>
    </xf>
    <xf numFmtId="0" fontId="0" fillId="4" borderId="6" xfId="0" applyFill="1" applyBorder="1" applyAlignment="1">
      <alignment vertical="top" wrapText="1"/>
    </xf>
    <xf numFmtId="49" fontId="0" fillId="4" borderId="1" xfId="0" applyNumberFormat="1" applyFill="1" applyBorder="1" applyAlignment="1">
      <alignment vertical="top"/>
    </xf>
    <xf numFmtId="0" fontId="1" fillId="0" borderId="0" xfId="0" applyFont="1" applyAlignment="1">
      <alignment horizontal="center" vertical="center"/>
    </xf>
    <xf numFmtId="0" fontId="0" fillId="5" borderId="1" xfId="0" applyFill="1" applyBorder="1" applyAlignment="1">
      <alignment horizontal="center" vertical="top"/>
    </xf>
    <xf numFmtId="49" fontId="0" fillId="5" borderId="8" xfId="0" applyNumberFormat="1" applyFill="1" applyBorder="1" applyAlignment="1">
      <alignment horizontal="center" vertical="top"/>
    </xf>
    <xf numFmtId="0" fontId="7" fillId="5" borderId="1" xfId="0" applyFont="1" applyFill="1" applyBorder="1" applyAlignment="1">
      <alignment horizontal="left" vertical="top" wrapText="1"/>
    </xf>
    <xf numFmtId="0" fontId="0" fillId="5" borderId="1" xfId="0" applyFill="1" applyBorder="1" applyAlignment="1">
      <alignment horizontal="left" vertical="top" wrapText="1"/>
    </xf>
    <xf numFmtId="0" fontId="0" fillId="5" borderId="1" xfId="0" applyFill="1" applyBorder="1"/>
    <xf numFmtId="0" fontId="0" fillId="5" borderId="1" xfId="0" applyFill="1" applyBorder="1" applyAlignment="1">
      <alignment horizontal="left" vertical="top"/>
    </xf>
    <xf numFmtId="0" fontId="0" fillId="5" borderId="1" xfId="0" applyFill="1" applyBorder="1" applyAlignment="1">
      <alignment horizontal="left"/>
    </xf>
    <xf numFmtId="49" fontId="0" fillId="5" borderId="0" xfId="0" applyNumberFormat="1" applyFill="1" applyBorder="1" applyAlignment="1">
      <alignment horizontal="center" vertical="top"/>
    </xf>
    <xf numFmtId="0" fontId="7" fillId="5" borderId="3" xfId="0" applyFont="1" applyFill="1" applyBorder="1" applyAlignment="1">
      <alignment horizontal="left" vertical="top" wrapText="1"/>
    </xf>
    <xf numFmtId="0" fontId="0" fillId="5" borderId="3" xfId="0" applyFill="1" applyBorder="1" applyAlignment="1">
      <alignment horizontal="left" vertical="top" wrapText="1"/>
    </xf>
    <xf numFmtId="0" fontId="0" fillId="5" borderId="3" xfId="0" applyFill="1" applyBorder="1" applyAlignment="1">
      <alignment horizontal="left"/>
    </xf>
    <xf numFmtId="0" fontId="0" fillId="5" borderId="3" xfId="0" applyFill="1" applyBorder="1" applyAlignment="1">
      <alignment horizontal="center" vertical="top"/>
    </xf>
    <xf numFmtId="49" fontId="0" fillId="5" borderId="3" xfId="0" applyNumberFormat="1" applyFill="1" applyBorder="1" applyAlignment="1">
      <alignment horizontal="center" vertical="top"/>
    </xf>
    <xf numFmtId="0" fontId="0" fillId="5" borderId="6" xfId="0" applyFill="1" applyBorder="1" applyAlignment="1">
      <alignment horizontal="left" vertical="top" wrapText="1"/>
    </xf>
    <xf numFmtId="0" fontId="0" fillId="5" borderId="3" xfId="0" applyFill="1" applyBorder="1" applyAlignment="1">
      <alignment horizontal="left" vertical="top"/>
    </xf>
    <xf numFmtId="49" fontId="0" fillId="5" borderId="1" xfId="0" applyNumberFormat="1" applyFill="1" applyBorder="1" applyAlignment="1">
      <alignment horizontal="center" vertical="top"/>
    </xf>
    <xf numFmtId="0" fontId="11" fillId="5" borderId="0" xfId="0" applyFont="1" applyFill="1"/>
    <xf numFmtId="0" fontId="0" fillId="0" borderId="0" xfId="0" applyAlignment="1">
      <alignment horizontal="center" vertical="center"/>
    </xf>
    <xf numFmtId="0" fontId="0" fillId="0" borderId="0" xfId="0" applyFill="1" applyAlignment="1">
      <alignment horizontal="center" vertical="center"/>
    </xf>
    <xf numFmtId="0" fontId="1" fillId="2" borderId="1" xfId="0" applyFont="1" applyFill="1" applyBorder="1" applyAlignment="1">
      <alignment horizontal="center" vertical="center" wrapText="1"/>
    </xf>
    <xf numFmtId="0" fontId="0" fillId="4" borderId="1" xfId="0" applyFill="1" applyBorder="1" applyAlignment="1">
      <alignment horizontal="center" vertical="center"/>
    </xf>
    <xf numFmtId="0" fontId="0" fillId="4" borderId="1" xfId="0" applyFill="1" applyBorder="1" applyAlignment="1">
      <alignment horizontal="center" vertical="center" wrapText="1"/>
    </xf>
    <xf numFmtId="0" fontId="0" fillId="5" borderId="1" xfId="0" applyFill="1" applyBorder="1" applyAlignment="1">
      <alignment horizontal="center" vertical="center"/>
    </xf>
    <xf numFmtId="0" fontId="1" fillId="2" borderId="3" xfId="0" applyFont="1" applyFill="1" applyBorder="1" applyAlignment="1">
      <alignment vertical="center"/>
    </xf>
    <xf numFmtId="0" fontId="1" fillId="0" borderId="0" xfId="0" applyFont="1" applyBorder="1"/>
    <xf numFmtId="0" fontId="1" fillId="0" borderId="0" xfId="0" applyFont="1"/>
    <xf numFmtId="0" fontId="0" fillId="5" borderId="0" xfId="0" applyFill="1" applyBorder="1" applyAlignment="1">
      <alignment wrapText="1"/>
    </xf>
    <xf numFmtId="49" fontId="0" fillId="0" borderId="0" xfId="0" applyNumberFormat="1" applyFill="1" applyAlignment="1">
      <alignment horizontal="center"/>
    </xf>
    <xf numFmtId="0" fontId="0" fillId="6" borderId="1" xfId="0" applyFill="1" applyBorder="1" applyAlignment="1">
      <alignment horizontal="center" vertical="top"/>
    </xf>
    <xf numFmtId="0" fontId="7" fillId="0" borderId="0" xfId="0" applyFont="1" applyFill="1"/>
    <xf numFmtId="0" fontId="0" fillId="4" borderId="0" xfId="0" applyFill="1" applyBorder="1" applyAlignment="1">
      <alignment vertical="center" wrapText="1"/>
    </xf>
    <xf numFmtId="0" fontId="0" fillId="6" borderId="0" xfId="0" applyFill="1" applyBorder="1" applyAlignment="1">
      <alignment vertical="top" wrapText="1"/>
    </xf>
    <xf numFmtId="0" fontId="0" fillId="0" borderId="0" xfId="0" applyBorder="1" applyAlignment="1">
      <alignment vertical="top"/>
    </xf>
    <xf numFmtId="0" fontId="7" fillId="6" borderId="1" xfId="0" applyFont="1" applyFill="1" applyBorder="1" applyAlignment="1">
      <alignment horizontal="center" vertical="top"/>
    </xf>
    <xf numFmtId="0" fontId="7" fillId="0" borderId="0" xfId="0" applyFont="1" applyBorder="1" applyAlignment="1">
      <alignment vertical="top"/>
    </xf>
    <xf numFmtId="0" fontId="7" fillId="0" borderId="0" xfId="0" applyFont="1" applyAlignment="1">
      <alignment vertical="top"/>
    </xf>
    <xf numFmtId="0" fontId="11" fillId="6" borderId="0" xfId="0" applyFont="1" applyFill="1" applyAlignment="1">
      <alignment vertical="top"/>
    </xf>
    <xf numFmtId="0" fontId="0" fillId="6" borderId="1" xfId="0" applyFill="1" applyBorder="1" applyAlignment="1">
      <alignment horizontal="center" vertical="top" wrapText="1"/>
    </xf>
    <xf numFmtId="0" fontId="7" fillId="0" borderId="1" xfId="0" applyFont="1" applyFill="1" applyBorder="1" applyAlignment="1">
      <alignment horizontal="center" vertical="top"/>
    </xf>
    <xf numFmtId="49" fontId="7" fillId="0" borderId="1" xfId="0" applyNumberFormat="1" applyFont="1" applyFill="1" applyBorder="1" applyAlignment="1">
      <alignment horizontal="center" vertical="top"/>
    </xf>
    <xf numFmtId="0" fontId="7" fillId="0" borderId="1" xfId="0" applyFont="1" applyFill="1" applyBorder="1" applyAlignment="1">
      <alignment vertical="top" wrapText="1"/>
    </xf>
    <xf numFmtId="0" fontId="7" fillId="0" borderId="1" xfId="0" applyFont="1" applyFill="1" applyBorder="1" applyAlignment="1">
      <alignment vertical="top"/>
    </xf>
    <xf numFmtId="49" fontId="0" fillId="0" borderId="1" xfId="0" applyNumberFormat="1" applyFill="1" applyBorder="1" applyAlignment="1">
      <alignment horizontal="center" vertical="top" wrapText="1"/>
    </xf>
    <xf numFmtId="0" fontId="1" fillId="0" borderId="0" xfId="0" applyFont="1" applyAlignment="1">
      <alignment horizontal="center" vertical="center"/>
    </xf>
    <xf numFmtId="0" fontId="1"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colors>
    <mruColors>
      <color rgb="FFD9D9EB"/>
      <color rgb="FFC1C0D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26"/>
  <sheetViews>
    <sheetView zoomScale="70" zoomScaleNormal="70" workbookViewId="0">
      <pane ySplit="5" topLeftCell="A6" activePane="bottomLeft" state="frozen"/>
      <selection pane="bottomLeft" activeCell="D8" sqref="D8"/>
    </sheetView>
  </sheetViews>
  <sheetFormatPr baseColWidth="10" defaultRowHeight="15" x14ac:dyDescent="0.25"/>
  <cols>
    <col min="1" max="1" width="5.42578125" style="1" customWidth="1"/>
    <col min="2" max="2" width="14.85546875" style="1" customWidth="1"/>
    <col min="3" max="3" width="12.42578125" customWidth="1"/>
    <col min="4" max="4" width="33.7109375" customWidth="1"/>
    <col min="5" max="5" width="26" customWidth="1"/>
    <col min="6" max="6" width="36.140625" customWidth="1"/>
    <col min="7" max="7" width="26.5703125" customWidth="1"/>
    <col min="8" max="8" width="33.85546875" customWidth="1"/>
    <col min="9" max="9" width="36.140625" customWidth="1"/>
    <col min="10" max="10" width="31.7109375" customWidth="1"/>
    <col min="11" max="11" width="27.85546875" customWidth="1"/>
  </cols>
  <sheetData>
    <row r="1" spans="1:11" x14ac:dyDescent="0.25">
      <c r="A1" s="128" t="s">
        <v>228</v>
      </c>
      <c r="B1" s="128"/>
      <c r="C1" s="128"/>
      <c r="D1" s="128"/>
      <c r="E1" s="128"/>
      <c r="F1" s="128"/>
      <c r="G1" s="128"/>
      <c r="H1" s="128"/>
      <c r="I1" s="128"/>
      <c r="J1" s="128"/>
      <c r="K1" s="128"/>
    </row>
    <row r="2" spans="1:11" x14ac:dyDescent="0.25">
      <c r="A2" s="30"/>
      <c r="B2" s="30"/>
      <c r="C2" s="30"/>
      <c r="D2" s="30"/>
      <c r="E2" s="30"/>
      <c r="F2" s="30"/>
      <c r="G2" s="30"/>
      <c r="H2" s="30"/>
      <c r="I2" s="30"/>
      <c r="J2" s="30"/>
      <c r="K2" s="30"/>
    </row>
    <row r="3" spans="1:11" x14ac:dyDescent="0.25">
      <c r="A3" s="128" t="s">
        <v>244</v>
      </c>
      <c r="B3" s="128"/>
      <c r="C3" s="128"/>
      <c r="D3" s="128"/>
      <c r="E3" s="128"/>
      <c r="F3" s="128"/>
      <c r="G3" s="128"/>
      <c r="H3" s="128"/>
      <c r="I3" s="128"/>
      <c r="J3" s="128"/>
      <c r="K3" s="128"/>
    </row>
    <row r="4" spans="1:11" x14ac:dyDescent="0.25">
      <c r="A4" s="2"/>
      <c r="B4" s="2"/>
      <c r="C4" s="2"/>
      <c r="D4" s="2"/>
      <c r="E4" s="2"/>
      <c r="F4" s="2"/>
      <c r="G4" s="2"/>
      <c r="H4" s="2"/>
      <c r="I4" s="2"/>
      <c r="J4" s="2"/>
      <c r="K4" s="2"/>
    </row>
    <row r="5" spans="1:11" s="4" customFormat="1" ht="25.5" x14ac:dyDescent="0.2">
      <c r="A5" s="17" t="s">
        <v>84</v>
      </c>
      <c r="B5" s="18" t="s">
        <v>1</v>
      </c>
      <c r="C5" s="18" t="s">
        <v>4</v>
      </c>
      <c r="D5" s="18" t="s">
        <v>0</v>
      </c>
      <c r="E5" s="18" t="s">
        <v>2</v>
      </c>
      <c r="F5" s="17" t="s">
        <v>3</v>
      </c>
      <c r="G5" s="17" t="s">
        <v>17</v>
      </c>
      <c r="H5" s="19" t="s">
        <v>19</v>
      </c>
      <c r="I5" s="18" t="s">
        <v>22</v>
      </c>
      <c r="J5" s="18" t="s">
        <v>34</v>
      </c>
      <c r="K5" s="20" t="s">
        <v>26</v>
      </c>
    </row>
    <row r="6" spans="1:11" s="3" customFormat="1" ht="60" x14ac:dyDescent="0.25">
      <c r="A6" s="32">
        <v>1</v>
      </c>
      <c r="B6" s="46" t="s">
        <v>13</v>
      </c>
      <c r="C6" s="33" t="s">
        <v>12</v>
      </c>
      <c r="D6" s="34" t="s">
        <v>14</v>
      </c>
      <c r="E6" s="34" t="s">
        <v>18</v>
      </c>
      <c r="F6" s="34" t="s">
        <v>15</v>
      </c>
      <c r="G6" s="34" t="s">
        <v>16</v>
      </c>
      <c r="H6" s="36" t="s">
        <v>226</v>
      </c>
      <c r="I6" s="34" t="s">
        <v>23</v>
      </c>
      <c r="J6" s="34"/>
      <c r="K6" s="64"/>
    </row>
    <row r="7" spans="1:11" ht="105" x14ac:dyDescent="0.25">
      <c r="A7" s="32">
        <v>2</v>
      </c>
      <c r="B7" s="46" t="s">
        <v>13</v>
      </c>
      <c r="C7" s="33" t="s">
        <v>24</v>
      </c>
      <c r="D7" s="34" t="s">
        <v>25</v>
      </c>
      <c r="E7" s="34" t="s">
        <v>18</v>
      </c>
      <c r="F7" s="34" t="s">
        <v>20</v>
      </c>
      <c r="G7" s="34" t="s">
        <v>21</v>
      </c>
      <c r="H7" s="36" t="s">
        <v>227</v>
      </c>
      <c r="I7" s="33"/>
      <c r="J7" s="33"/>
      <c r="K7" s="34" t="s">
        <v>27</v>
      </c>
    </row>
    <row r="8" spans="1:11" ht="120" x14ac:dyDescent="0.25">
      <c r="A8" s="32">
        <v>3</v>
      </c>
      <c r="B8" s="46" t="s">
        <v>13</v>
      </c>
      <c r="C8" s="33" t="s">
        <v>28</v>
      </c>
      <c r="D8" s="34" t="s">
        <v>29</v>
      </c>
      <c r="E8" s="34" t="s">
        <v>37</v>
      </c>
      <c r="F8" s="34" t="s">
        <v>30</v>
      </c>
      <c r="G8" s="34" t="s">
        <v>31</v>
      </c>
      <c r="H8" s="36" t="s">
        <v>229</v>
      </c>
      <c r="I8" s="36" t="s">
        <v>230</v>
      </c>
      <c r="J8" s="36" t="s">
        <v>231</v>
      </c>
      <c r="K8" s="34"/>
    </row>
    <row r="9" spans="1:11" ht="120" x14ac:dyDescent="0.25">
      <c r="A9" s="32">
        <v>4</v>
      </c>
      <c r="B9" s="46" t="s">
        <v>13</v>
      </c>
      <c r="C9" s="33" t="s">
        <v>35</v>
      </c>
      <c r="D9" s="34" t="s">
        <v>36</v>
      </c>
      <c r="E9" s="34" t="s">
        <v>37</v>
      </c>
      <c r="F9" s="34" t="s">
        <v>38</v>
      </c>
      <c r="G9" s="34" t="s">
        <v>39</v>
      </c>
      <c r="H9" s="36" t="s">
        <v>232</v>
      </c>
      <c r="I9" s="36" t="s">
        <v>233</v>
      </c>
      <c r="J9" s="36" t="s">
        <v>234</v>
      </c>
      <c r="K9" s="34"/>
    </row>
    <row r="10" spans="1:11" ht="90" x14ac:dyDescent="0.25">
      <c r="A10" s="32">
        <v>5</v>
      </c>
      <c r="B10" s="46" t="s">
        <v>13</v>
      </c>
      <c r="C10" s="33" t="s">
        <v>41</v>
      </c>
      <c r="D10" s="34" t="s">
        <v>42</v>
      </c>
      <c r="E10" s="34" t="s">
        <v>37</v>
      </c>
      <c r="F10" s="34" t="s">
        <v>40</v>
      </c>
      <c r="G10" s="34" t="s">
        <v>45</v>
      </c>
      <c r="H10" s="36" t="s">
        <v>235</v>
      </c>
      <c r="I10" s="36" t="s">
        <v>236</v>
      </c>
      <c r="J10" s="36" t="s">
        <v>237</v>
      </c>
      <c r="K10" s="34"/>
    </row>
    <row r="11" spans="1:11" ht="75" x14ac:dyDescent="0.25">
      <c r="A11" s="32">
        <v>6</v>
      </c>
      <c r="B11" s="34" t="s">
        <v>13</v>
      </c>
      <c r="C11" s="33" t="s">
        <v>43</v>
      </c>
      <c r="D11" s="56" t="s">
        <v>44</v>
      </c>
      <c r="E11" s="34" t="s">
        <v>37</v>
      </c>
      <c r="F11" s="34" t="s">
        <v>65</v>
      </c>
      <c r="G11" s="39" t="s">
        <v>32</v>
      </c>
      <c r="H11" s="40" t="s">
        <v>241</v>
      </c>
      <c r="I11" s="40" t="s">
        <v>242</v>
      </c>
      <c r="J11" s="40" t="s">
        <v>243</v>
      </c>
      <c r="K11" s="61"/>
    </row>
    <row r="12" spans="1:11" ht="45" x14ac:dyDescent="0.25">
      <c r="A12" s="58">
        <v>7</v>
      </c>
      <c r="B12" s="57" t="s">
        <v>13</v>
      </c>
      <c r="C12" s="60" t="s">
        <v>48</v>
      </c>
      <c r="D12" s="62" t="s">
        <v>47</v>
      </c>
      <c r="E12" s="62" t="s">
        <v>46</v>
      </c>
      <c r="F12" s="62" t="s">
        <v>49</v>
      </c>
      <c r="G12" s="63" t="s">
        <v>66</v>
      </c>
      <c r="H12" s="45" t="s">
        <v>240</v>
      </c>
      <c r="I12" s="59"/>
      <c r="J12" s="33"/>
      <c r="K12" s="34" t="s">
        <v>50</v>
      </c>
    </row>
    <row r="13" spans="1:11" ht="135" customHeight="1" x14ac:dyDescent="0.25">
      <c r="A13" s="32">
        <v>8</v>
      </c>
      <c r="B13" s="34" t="s">
        <v>13</v>
      </c>
      <c r="C13" s="33" t="s">
        <v>51</v>
      </c>
      <c r="D13" s="34" t="s">
        <v>52</v>
      </c>
      <c r="E13" s="34" t="s">
        <v>53</v>
      </c>
      <c r="F13" s="34" t="s">
        <v>54</v>
      </c>
      <c r="G13" s="34" t="s">
        <v>55</v>
      </c>
      <c r="H13" s="36" t="s">
        <v>238</v>
      </c>
      <c r="I13" s="36" t="s">
        <v>239</v>
      </c>
      <c r="J13" s="36" t="s">
        <v>56</v>
      </c>
      <c r="K13" s="34" t="s">
        <v>57</v>
      </c>
    </row>
    <row r="14" spans="1:11" x14ac:dyDescent="0.25">
      <c r="A14" s="48"/>
      <c r="B14" s="49"/>
      <c r="C14" s="48"/>
      <c r="D14" s="50"/>
      <c r="E14" s="50"/>
      <c r="F14" s="50"/>
      <c r="G14" s="50"/>
      <c r="H14" s="51"/>
      <c r="I14" s="52"/>
      <c r="J14" s="53"/>
      <c r="K14" s="54"/>
    </row>
    <row r="15" spans="1:11" s="55" customFormat="1" x14ac:dyDescent="0.25">
      <c r="A15" s="48"/>
      <c r="B15" s="49"/>
      <c r="C15" s="48"/>
      <c r="D15" s="50"/>
      <c r="E15" s="50"/>
      <c r="F15" s="50"/>
      <c r="G15" s="50"/>
      <c r="H15" s="51"/>
      <c r="I15" s="52"/>
      <c r="J15" s="53"/>
      <c r="K15" s="54"/>
    </row>
    <row r="16" spans="1:11" s="55" customFormat="1" x14ac:dyDescent="0.25">
      <c r="A16" s="128" t="s">
        <v>245</v>
      </c>
      <c r="B16" s="128"/>
      <c r="C16" s="128"/>
      <c r="D16" s="128"/>
      <c r="E16" s="128"/>
      <c r="F16" s="128"/>
      <c r="G16" s="128"/>
      <c r="H16" s="128"/>
      <c r="I16" s="128"/>
      <c r="J16" s="128"/>
      <c r="K16" s="128"/>
    </row>
    <row r="17" spans="1:11" s="55" customFormat="1" x14ac:dyDescent="0.25"/>
    <row r="18" spans="1:11" s="55" customFormat="1" ht="26.25" x14ac:dyDescent="0.25">
      <c r="A18" s="17" t="s">
        <v>84</v>
      </c>
      <c r="B18" s="18" t="s">
        <v>1</v>
      </c>
      <c r="C18" s="18" t="s">
        <v>4</v>
      </c>
      <c r="D18" s="18" t="s">
        <v>0</v>
      </c>
      <c r="E18" s="18" t="s">
        <v>2</v>
      </c>
      <c r="F18" s="17" t="s">
        <v>3</v>
      </c>
      <c r="G18" s="17" t="s">
        <v>17</v>
      </c>
      <c r="H18" s="19" t="s">
        <v>19</v>
      </c>
      <c r="I18" s="18" t="s">
        <v>22</v>
      </c>
      <c r="J18" s="18" t="s">
        <v>34</v>
      </c>
      <c r="K18" s="20" t="s">
        <v>26</v>
      </c>
    </row>
    <row r="19" spans="1:11" s="47" customFormat="1" ht="90" x14ac:dyDescent="0.25">
      <c r="A19" s="32">
        <v>1</v>
      </c>
      <c r="B19" s="46" t="s">
        <v>220</v>
      </c>
      <c r="C19" s="32" t="s">
        <v>221</v>
      </c>
      <c r="D19" s="36" t="s">
        <v>222</v>
      </c>
      <c r="E19" s="36" t="s">
        <v>223</v>
      </c>
      <c r="F19" s="36" t="s">
        <v>32</v>
      </c>
      <c r="G19" s="38" t="s">
        <v>30</v>
      </c>
      <c r="H19" s="36" t="s">
        <v>224</v>
      </c>
      <c r="I19" s="36" t="s">
        <v>33</v>
      </c>
      <c r="J19" s="36" t="s">
        <v>225</v>
      </c>
      <c r="K19" s="33"/>
    </row>
    <row r="20" spans="1:11" ht="17.25" customHeight="1" x14ac:dyDescent="0.25">
      <c r="A20" s="68" t="s">
        <v>253</v>
      </c>
    </row>
    <row r="21" spans="1:11" ht="23.25" customHeight="1" x14ac:dyDescent="0.25"/>
    <row r="22" spans="1:11" x14ac:dyDescent="0.25">
      <c r="A22" s="129" t="s">
        <v>246</v>
      </c>
      <c r="B22" s="128"/>
      <c r="C22" s="128"/>
      <c r="D22" s="128"/>
      <c r="E22" s="128"/>
      <c r="F22" s="128"/>
      <c r="G22" s="128"/>
      <c r="H22" s="128"/>
      <c r="I22" s="128"/>
      <c r="J22" s="128"/>
      <c r="K22" s="128"/>
    </row>
    <row r="23" spans="1:11" x14ac:dyDescent="0.25">
      <c r="A23" s="55"/>
      <c r="B23" s="55"/>
      <c r="C23" s="55"/>
      <c r="D23" s="55"/>
      <c r="E23" s="55"/>
      <c r="F23" s="55"/>
      <c r="G23" s="55"/>
      <c r="H23" s="55"/>
      <c r="I23" s="55"/>
      <c r="J23" s="55"/>
      <c r="K23" s="55"/>
    </row>
    <row r="24" spans="1:11" ht="26.25" x14ac:dyDescent="0.25">
      <c r="A24" s="17" t="s">
        <v>84</v>
      </c>
      <c r="B24" s="65" t="s">
        <v>1</v>
      </c>
      <c r="C24" s="65" t="s">
        <v>4</v>
      </c>
      <c r="D24" s="65" t="s">
        <v>0</v>
      </c>
      <c r="E24" s="65" t="s">
        <v>2</v>
      </c>
      <c r="F24" s="66" t="s">
        <v>3</v>
      </c>
      <c r="G24" s="66" t="s">
        <v>17</v>
      </c>
      <c r="H24" s="67" t="s">
        <v>19</v>
      </c>
      <c r="I24" s="65" t="s">
        <v>22</v>
      </c>
      <c r="J24" s="65" t="s">
        <v>34</v>
      </c>
      <c r="K24" s="65" t="s">
        <v>26</v>
      </c>
    </row>
    <row r="25" spans="1:11" ht="90" x14ac:dyDescent="0.25">
      <c r="A25" s="32">
        <v>1</v>
      </c>
      <c r="B25" s="46" t="s">
        <v>247</v>
      </c>
      <c r="C25" s="32" t="s">
        <v>248</v>
      </c>
      <c r="D25" s="36" t="s">
        <v>249</v>
      </c>
      <c r="E25" s="36" t="s">
        <v>53</v>
      </c>
      <c r="F25" s="36" t="s">
        <v>250</v>
      </c>
      <c r="G25" s="38"/>
      <c r="H25" s="36" t="s">
        <v>251</v>
      </c>
      <c r="I25" s="37"/>
      <c r="J25" s="37"/>
      <c r="K25" s="36" t="s">
        <v>252</v>
      </c>
    </row>
    <row r="26" spans="1:11" x14ac:dyDescent="0.25">
      <c r="A26" s="68" t="s">
        <v>253</v>
      </c>
    </row>
  </sheetData>
  <mergeCells count="4">
    <mergeCell ref="A16:K16"/>
    <mergeCell ref="A22:K22"/>
    <mergeCell ref="A1:K1"/>
    <mergeCell ref="A3:K3"/>
  </mergeCells>
  <phoneticPr fontId="3" type="noConversion"/>
  <printOptions horizontalCentered="1"/>
  <pageMargins left="0.27" right="0.23" top="0.4" bottom="0.74803149606299213" header="0.31496062992125984" footer="0.31496062992125984"/>
  <pageSetup paperSize="9" scale="50"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47"/>
  <sheetViews>
    <sheetView tabSelected="1" zoomScale="80" zoomScaleNormal="80" workbookViewId="0">
      <pane ySplit="4" topLeftCell="A41" activePane="bottomLeft" state="frozen"/>
      <selection pane="bottomLeft" activeCell="C56" sqref="C56"/>
    </sheetView>
  </sheetViews>
  <sheetFormatPr baseColWidth="10" defaultRowHeight="15" x14ac:dyDescent="0.25"/>
  <cols>
    <col min="1" max="1" width="3.42578125" bestFit="1" customWidth="1"/>
    <col min="2" max="2" width="9.7109375" style="44" customWidth="1"/>
    <col min="3" max="3" width="79.5703125" style="27" customWidth="1"/>
    <col min="4" max="4" width="26.42578125" customWidth="1"/>
    <col min="5" max="5" width="26.7109375" customWidth="1"/>
    <col min="6" max="6" width="40" customWidth="1"/>
    <col min="7" max="7" width="32.85546875" customWidth="1"/>
    <col min="8" max="8" width="30" customWidth="1"/>
    <col min="9" max="9" width="22" customWidth="1"/>
    <col min="10" max="10" width="11.42578125" style="102"/>
    <col min="11" max="11" width="27.7109375" style="55" customWidth="1"/>
  </cols>
  <sheetData>
    <row r="1" spans="1:11" s="110" customFormat="1" x14ac:dyDescent="0.25">
      <c r="A1" s="128" t="s">
        <v>5</v>
      </c>
      <c r="B1" s="128"/>
      <c r="C1" s="128"/>
      <c r="D1" s="128"/>
      <c r="E1" s="128"/>
      <c r="F1" s="128"/>
      <c r="G1" s="128"/>
      <c r="H1" s="128"/>
      <c r="I1" s="128"/>
      <c r="J1" s="84"/>
      <c r="K1" s="109"/>
    </row>
    <row r="2" spans="1:11" s="110" customFormat="1" x14ac:dyDescent="0.25">
      <c r="A2" s="128" t="s">
        <v>280</v>
      </c>
      <c r="B2" s="128"/>
      <c r="C2" s="128"/>
      <c r="D2" s="128"/>
      <c r="E2" s="128"/>
      <c r="F2" s="128"/>
      <c r="G2" s="128"/>
      <c r="H2" s="128"/>
      <c r="I2" s="128"/>
      <c r="J2" s="84"/>
      <c r="K2" s="109"/>
    </row>
    <row r="3" spans="1:11" s="110" customFormat="1" x14ac:dyDescent="0.25">
      <c r="A3" s="84"/>
      <c r="B3" s="42"/>
      <c r="C3" s="25"/>
      <c r="D3" s="84"/>
      <c r="E3" s="84"/>
      <c r="F3" s="84"/>
      <c r="G3" s="84"/>
      <c r="H3" s="84"/>
      <c r="I3" s="84"/>
      <c r="J3" s="84"/>
      <c r="K3" s="109"/>
    </row>
    <row r="4" spans="1:11" ht="30" x14ac:dyDescent="0.25">
      <c r="A4" s="13" t="s">
        <v>84</v>
      </c>
      <c r="B4" s="43" t="s">
        <v>59</v>
      </c>
      <c r="C4" s="26" t="s">
        <v>6</v>
      </c>
      <c r="D4" s="14" t="s">
        <v>7</v>
      </c>
      <c r="E4" s="15" t="s">
        <v>60</v>
      </c>
      <c r="F4" s="15" t="s">
        <v>61</v>
      </c>
      <c r="G4" s="16" t="s">
        <v>9</v>
      </c>
      <c r="H4" s="15" t="s">
        <v>8</v>
      </c>
      <c r="I4" s="108" t="s">
        <v>11</v>
      </c>
      <c r="J4" s="104" t="s">
        <v>259</v>
      </c>
    </row>
    <row r="5" spans="1:11" ht="45" hidden="1" x14ac:dyDescent="0.25">
      <c r="A5" s="72">
        <f t="shared" ref="A5:A46" si="0">ROW()-4</f>
        <v>1</v>
      </c>
      <c r="B5" s="73" t="s">
        <v>132</v>
      </c>
      <c r="C5" s="74" t="s">
        <v>133</v>
      </c>
      <c r="D5" s="75" t="s">
        <v>138</v>
      </c>
      <c r="E5" s="75" t="s">
        <v>141</v>
      </c>
      <c r="F5" s="77"/>
      <c r="G5" s="78" t="s">
        <v>134</v>
      </c>
      <c r="H5" s="78" t="s">
        <v>135</v>
      </c>
      <c r="I5" s="77"/>
      <c r="J5" s="105" t="s">
        <v>254</v>
      </c>
      <c r="K5" s="115" t="s">
        <v>279</v>
      </c>
    </row>
    <row r="6" spans="1:11" ht="30" hidden="1" x14ac:dyDescent="0.25">
      <c r="A6" s="72">
        <f t="shared" si="0"/>
        <v>2</v>
      </c>
      <c r="B6" s="73" t="s">
        <v>143</v>
      </c>
      <c r="C6" s="74" t="s">
        <v>144</v>
      </c>
      <c r="D6" s="75" t="s">
        <v>138</v>
      </c>
      <c r="E6" s="75" t="s">
        <v>140</v>
      </c>
      <c r="F6" s="75" t="s">
        <v>142</v>
      </c>
      <c r="G6" s="76" t="s">
        <v>145</v>
      </c>
      <c r="H6" s="76" t="s">
        <v>135</v>
      </c>
      <c r="I6" s="77"/>
      <c r="J6" s="105" t="s">
        <v>255</v>
      </c>
    </row>
    <row r="7" spans="1:11" ht="60" hidden="1" x14ac:dyDescent="0.25">
      <c r="A7" s="72">
        <f t="shared" si="0"/>
        <v>3</v>
      </c>
      <c r="B7" s="73" t="s">
        <v>182</v>
      </c>
      <c r="C7" s="79" t="s">
        <v>166</v>
      </c>
      <c r="D7" s="76" t="s">
        <v>167</v>
      </c>
      <c r="E7" s="80" t="s">
        <v>172</v>
      </c>
      <c r="F7" s="80" t="s">
        <v>170</v>
      </c>
      <c r="G7" s="76" t="s">
        <v>168</v>
      </c>
      <c r="H7" s="80" t="s">
        <v>169</v>
      </c>
      <c r="I7" s="76"/>
      <c r="J7" s="106" t="s">
        <v>256</v>
      </c>
    </row>
    <row r="8" spans="1:11" ht="60" hidden="1" x14ac:dyDescent="0.25">
      <c r="A8" s="72">
        <f t="shared" si="0"/>
        <v>4</v>
      </c>
      <c r="B8" s="73">
        <v>11.23</v>
      </c>
      <c r="C8" s="74" t="s">
        <v>150</v>
      </c>
      <c r="D8" s="75" t="s">
        <v>153</v>
      </c>
      <c r="E8" s="75" t="s">
        <v>97</v>
      </c>
      <c r="F8" s="76"/>
      <c r="G8" s="76" t="s">
        <v>152</v>
      </c>
      <c r="H8" s="76" t="s">
        <v>151</v>
      </c>
      <c r="I8" s="77"/>
      <c r="J8" s="105" t="s">
        <v>257</v>
      </c>
    </row>
    <row r="9" spans="1:11" ht="30" hidden="1" x14ac:dyDescent="0.25">
      <c r="A9" s="72">
        <f t="shared" si="0"/>
        <v>5</v>
      </c>
      <c r="B9" s="73">
        <v>11.23</v>
      </c>
      <c r="C9" s="81" t="s">
        <v>177</v>
      </c>
      <c r="D9" s="80" t="s">
        <v>178</v>
      </c>
      <c r="E9" s="76"/>
      <c r="F9" s="80" t="s">
        <v>130</v>
      </c>
      <c r="G9" s="76" t="s">
        <v>179</v>
      </c>
      <c r="H9" s="76" t="s">
        <v>180</v>
      </c>
      <c r="I9" s="77"/>
      <c r="J9" s="105" t="s">
        <v>256</v>
      </c>
    </row>
    <row r="10" spans="1:11" ht="30" hidden="1" x14ac:dyDescent="0.25">
      <c r="A10" s="72">
        <f t="shared" si="0"/>
        <v>6</v>
      </c>
      <c r="B10" s="73" t="s">
        <v>146</v>
      </c>
      <c r="C10" s="74" t="s">
        <v>147</v>
      </c>
      <c r="D10" s="75" t="s">
        <v>148</v>
      </c>
      <c r="E10" s="77"/>
      <c r="F10" s="75" t="s">
        <v>142</v>
      </c>
      <c r="G10" s="76" t="s">
        <v>149</v>
      </c>
      <c r="H10" s="76" t="s">
        <v>135</v>
      </c>
      <c r="I10" s="77"/>
      <c r="J10" s="105" t="s">
        <v>255</v>
      </c>
    </row>
    <row r="11" spans="1:11" ht="30" hidden="1" x14ac:dyDescent="0.25">
      <c r="A11" s="72">
        <f t="shared" si="0"/>
        <v>7</v>
      </c>
      <c r="B11" s="73" t="s">
        <v>136</v>
      </c>
      <c r="C11" s="74" t="s">
        <v>137</v>
      </c>
      <c r="D11" s="75" t="s">
        <v>138</v>
      </c>
      <c r="E11" s="75" t="s">
        <v>140</v>
      </c>
      <c r="F11" s="75" t="s">
        <v>142</v>
      </c>
      <c r="G11" s="78" t="s">
        <v>139</v>
      </c>
      <c r="H11" s="78" t="s">
        <v>135</v>
      </c>
      <c r="I11" s="77"/>
      <c r="J11" s="105" t="s">
        <v>255</v>
      </c>
    </row>
    <row r="12" spans="1:11" ht="45" hidden="1" x14ac:dyDescent="0.25">
      <c r="A12" s="72">
        <f t="shared" si="0"/>
        <v>8</v>
      </c>
      <c r="B12" s="73" t="s">
        <v>136</v>
      </c>
      <c r="C12" s="79" t="s">
        <v>173</v>
      </c>
      <c r="D12" s="75" t="s">
        <v>138</v>
      </c>
      <c r="E12" s="80" t="s">
        <v>176</v>
      </c>
      <c r="F12" s="76"/>
      <c r="G12" s="76" t="s">
        <v>174</v>
      </c>
      <c r="H12" s="76" t="s">
        <v>175</v>
      </c>
      <c r="I12" s="76"/>
      <c r="J12" s="105" t="s">
        <v>258</v>
      </c>
    </row>
    <row r="13" spans="1:11" ht="105" hidden="1" x14ac:dyDescent="0.25">
      <c r="A13" s="72">
        <f t="shared" si="0"/>
        <v>9</v>
      </c>
      <c r="B13" s="73" t="s">
        <v>136</v>
      </c>
      <c r="C13" s="79" t="s">
        <v>161</v>
      </c>
      <c r="D13" s="75" t="s">
        <v>138</v>
      </c>
      <c r="E13" s="80" t="s">
        <v>163</v>
      </c>
      <c r="F13" s="80" t="s">
        <v>95</v>
      </c>
      <c r="G13" s="76" t="s">
        <v>162</v>
      </c>
      <c r="H13" s="76" t="s">
        <v>64</v>
      </c>
      <c r="I13" s="77"/>
      <c r="J13" s="105" t="s">
        <v>257</v>
      </c>
    </row>
    <row r="14" spans="1:11" ht="90" hidden="1" x14ac:dyDescent="0.25">
      <c r="A14" s="72">
        <f t="shared" si="0"/>
        <v>10</v>
      </c>
      <c r="B14" s="73" t="s">
        <v>136</v>
      </c>
      <c r="C14" s="81" t="s">
        <v>164</v>
      </c>
      <c r="D14" s="75" t="s">
        <v>138</v>
      </c>
      <c r="E14" s="82" t="s">
        <v>171</v>
      </c>
      <c r="F14" s="80" t="s">
        <v>130</v>
      </c>
      <c r="G14" s="76" t="s">
        <v>165</v>
      </c>
      <c r="H14" s="76" t="s">
        <v>135</v>
      </c>
      <c r="I14" s="76"/>
      <c r="J14" s="105" t="s">
        <v>256</v>
      </c>
    </row>
    <row r="15" spans="1:11" ht="30" hidden="1" x14ac:dyDescent="0.25">
      <c r="A15" s="72">
        <f t="shared" si="0"/>
        <v>11</v>
      </c>
      <c r="B15" s="83" t="s">
        <v>154</v>
      </c>
      <c r="C15" s="74" t="s">
        <v>155</v>
      </c>
      <c r="D15" s="75" t="s">
        <v>156</v>
      </c>
      <c r="E15" s="80" t="s">
        <v>159</v>
      </c>
      <c r="F15" s="80" t="s">
        <v>160</v>
      </c>
      <c r="G15" s="76" t="s">
        <v>157</v>
      </c>
      <c r="H15" s="76" t="s">
        <v>158</v>
      </c>
      <c r="I15" s="77"/>
      <c r="J15" s="105" t="s">
        <v>256</v>
      </c>
    </row>
    <row r="16" spans="1:11" ht="45" hidden="1" x14ac:dyDescent="0.25">
      <c r="A16" s="85">
        <f t="shared" si="0"/>
        <v>12</v>
      </c>
      <c r="B16" s="86" t="s">
        <v>93</v>
      </c>
      <c r="C16" s="87" t="s">
        <v>89</v>
      </c>
      <c r="D16" s="88" t="s">
        <v>90</v>
      </c>
      <c r="E16" s="89"/>
      <c r="F16" s="88" t="s">
        <v>98</v>
      </c>
      <c r="G16" s="90" t="s">
        <v>91</v>
      </c>
      <c r="H16" s="90" t="s">
        <v>92</v>
      </c>
      <c r="I16" s="89"/>
      <c r="J16" s="107" t="s">
        <v>257</v>
      </c>
      <c r="K16" s="111" t="s">
        <v>276</v>
      </c>
    </row>
    <row r="17" spans="1:11" s="5" customFormat="1" ht="30" hidden="1" x14ac:dyDescent="0.25">
      <c r="A17" s="85">
        <f t="shared" si="0"/>
        <v>13</v>
      </c>
      <c r="B17" s="86" t="s">
        <v>83</v>
      </c>
      <c r="C17" s="87" t="s">
        <v>80</v>
      </c>
      <c r="D17" s="90" t="s">
        <v>81</v>
      </c>
      <c r="E17" s="91"/>
      <c r="F17" s="88" t="s">
        <v>96</v>
      </c>
      <c r="G17" s="90" t="s">
        <v>82</v>
      </c>
      <c r="H17" s="90" t="s">
        <v>70</v>
      </c>
      <c r="I17" s="91"/>
      <c r="J17" s="107" t="s">
        <v>258</v>
      </c>
      <c r="K17" s="69"/>
    </row>
    <row r="18" spans="1:11" s="5" customFormat="1" ht="45" hidden="1" x14ac:dyDescent="0.25">
      <c r="A18" s="85">
        <f t="shared" si="0"/>
        <v>14</v>
      </c>
      <c r="B18" s="92" t="s">
        <v>73</v>
      </c>
      <c r="C18" s="93" t="s">
        <v>71</v>
      </c>
      <c r="D18" s="94" t="s">
        <v>78</v>
      </c>
      <c r="E18" s="95"/>
      <c r="F18" s="94" t="s">
        <v>96</v>
      </c>
      <c r="G18" s="90" t="s">
        <v>72</v>
      </c>
      <c r="H18" s="90" t="s">
        <v>70</v>
      </c>
      <c r="I18" s="91"/>
      <c r="J18" s="107" t="s">
        <v>258</v>
      </c>
      <c r="K18" s="69"/>
    </row>
    <row r="19" spans="1:11" s="10" customFormat="1" ht="45" hidden="1" x14ac:dyDescent="0.25">
      <c r="A19" s="85">
        <f t="shared" si="0"/>
        <v>15</v>
      </c>
      <c r="B19" s="86" t="s">
        <v>74</v>
      </c>
      <c r="C19" s="87" t="s">
        <v>67</v>
      </c>
      <c r="D19" s="88" t="s">
        <v>68</v>
      </c>
      <c r="E19" s="90"/>
      <c r="F19" s="88" t="s">
        <v>96</v>
      </c>
      <c r="G19" s="90" t="s">
        <v>69</v>
      </c>
      <c r="H19" s="90" t="s">
        <v>70</v>
      </c>
      <c r="I19" s="90"/>
      <c r="J19" s="107" t="s">
        <v>258</v>
      </c>
      <c r="K19" s="70"/>
    </row>
    <row r="20" spans="1:11" s="5" customFormat="1" ht="45" hidden="1" x14ac:dyDescent="0.25">
      <c r="A20" s="85">
        <f t="shared" si="0"/>
        <v>16</v>
      </c>
      <c r="B20" s="86" t="s">
        <v>76</v>
      </c>
      <c r="C20" s="87" t="s">
        <v>77</v>
      </c>
      <c r="D20" s="88" t="s">
        <v>68</v>
      </c>
      <c r="E20" s="88" t="s">
        <v>97</v>
      </c>
      <c r="F20" s="91"/>
      <c r="G20" s="90" t="s">
        <v>79</v>
      </c>
      <c r="H20" s="90" t="s">
        <v>70</v>
      </c>
      <c r="I20" s="91"/>
      <c r="J20" s="107" t="s">
        <v>257</v>
      </c>
      <c r="K20" s="69"/>
    </row>
    <row r="21" spans="1:11" s="10" customFormat="1" ht="135" hidden="1" x14ac:dyDescent="0.25">
      <c r="A21" s="96">
        <f t="shared" si="0"/>
        <v>17</v>
      </c>
      <c r="B21" s="97" t="s">
        <v>75</v>
      </c>
      <c r="C21" s="87" t="s">
        <v>58</v>
      </c>
      <c r="D21" s="98" t="s">
        <v>62</v>
      </c>
      <c r="E21" s="94" t="s">
        <v>94</v>
      </c>
      <c r="F21" s="94" t="s">
        <v>95</v>
      </c>
      <c r="G21" s="94" t="s">
        <v>63</v>
      </c>
      <c r="H21" s="99" t="s">
        <v>64</v>
      </c>
      <c r="I21" s="99"/>
      <c r="J21" s="107" t="s">
        <v>257</v>
      </c>
      <c r="K21" s="70"/>
    </row>
    <row r="22" spans="1:11" s="5" customFormat="1" ht="45" hidden="1" x14ac:dyDescent="0.25">
      <c r="A22" s="85">
        <f t="shared" si="0"/>
        <v>18</v>
      </c>
      <c r="B22" s="100" t="s">
        <v>88</v>
      </c>
      <c r="C22" s="87" t="s">
        <v>85</v>
      </c>
      <c r="D22" s="88" t="s">
        <v>86</v>
      </c>
      <c r="E22" s="88" t="s">
        <v>96</v>
      </c>
      <c r="F22" s="91"/>
      <c r="G22" s="90" t="s">
        <v>87</v>
      </c>
      <c r="H22" s="90" t="s">
        <v>70</v>
      </c>
      <c r="I22" s="91"/>
      <c r="J22" s="107" t="s">
        <v>258</v>
      </c>
      <c r="K22" s="69"/>
    </row>
    <row r="23" spans="1:11" s="31" customFormat="1" ht="30" hidden="1" x14ac:dyDescent="0.25">
      <c r="A23" s="85">
        <f t="shared" si="0"/>
        <v>19</v>
      </c>
      <c r="B23" s="100" t="s">
        <v>188</v>
      </c>
      <c r="C23" s="87" t="s">
        <v>189</v>
      </c>
      <c r="D23" s="88" t="s">
        <v>191</v>
      </c>
      <c r="E23" s="88" t="s">
        <v>216</v>
      </c>
      <c r="F23" s="89"/>
      <c r="G23" s="90" t="s">
        <v>190</v>
      </c>
      <c r="H23" s="88" t="s">
        <v>135</v>
      </c>
      <c r="I23" s="89" t="s">
        <v>187</v>
      </c>
      <c r="J23" s="107" t="s">
        <v>254</v>
      </c>
      <c r="K23" s="71"/>
    </row>
    <row r="24" spans="1:11" ht="30" hidden="1" x14ac:dyDescent="0.25">
      <c r="A24" s="85">
        <f t="shared" si="0"/>
        <v>20</v>
      </c>
      <c r="B24" s="100" t="s">
        <v>188</v>
      </c>
      <c r="C24" s="87" t="s">
        <v>192</v>
      </c>
      <c r="D24" s="88" t="s">
        <v>191</v>
      </c>
      <c r="E24" s="88" t="s">
        <v>216</v>
      </c>
      <c r="F24" s="89"/>
      <c r="G24" s="90" t="s">
        <v>193</v>
      </c>
      <c r="H24" s="88" t="s">
        <v>135</v>
      </c>
      <c r="I24" s="89" t="s">
        <v>187</v>
      </c>
      <c r="J24" s="107" t="s">
        <v>254</v>
      </c>
    </row>
    <row r="25" spans="1:11" ht="30" hidden="1" x14ac:dyDescent="0.25">
      <c r="A25" s="85">
        <f t="shared" si="0"/>
        <v>21</v>
      </c>
      <c r="B25" s="100" t="s">
        <v>195</v>
      </c>
      <c r="C25" s="87" t="s">
        <v>194</v>
      </c>
      <c r="D25" s="88" t="s">
        <v>196</v>
      </c>
      <c r="E25" s="88" t="s">
        <v>216</v>
      </c>
      <c r="F25" s="89"/>
      <c r="G25" s="90" t="s">
        <v>197</v>
      </c>
      <c r="H25" s="88" t="s">
        <v>198</v>
      </c>
      <c r="I25" s="89"/>
      <c r="J25" s="107" t="s">
        <v>254</v>
      </c>
    </row>
    <row r="26" spans="1:11" ht="30" hidden="1" x14ac:dyDescent="0.25">
      <c r="A26" s="85">
        <f t="shared" si="0"/>
        <v>22</v>
      </c>
      <c r="B26" s="100" t="s">
        <v>202</v>
      </c>
      <c r="C26" s="87" t="s">
        <v>201</v>
      </c>
      <c r="D26" s="88" t="s">
        <v>199</v>
      </c>
      <c r="E26" s="88" t="s">
        <v>216</v>
      </c>
      <c r="F26" s="89"/>
      <c r="G26" s="90" t="s">
        <v>200</v>
      </c>
      <c r="H26" s="88" t="s">
        <v>198</v>
      </c>
      <c r="I26" s="89"/>
      <c r="J26" s="107" t="s">
        <v>254</v>
      </c>
    </row>
    <row r="27" spans="1:11" ht="30" hidden="1" x14ac:dyDescent="0.25">
      <c r="A27" s="85">
        <f t="shared" si="0"/>
        <v>23</v>
      </c>
      <c r="B27" s="100" t="s">
        <v>205</v>
      </c>
      <c r="C27" s="87" t="s">
        <v>204</v>
      </c>
      <c r="D27" s="88" t="s">
        <v>203</v>
      </c>
      <c r="E27" s="88" t="s">
        <v>217</v>
      </c>
      <c r="F27" s="89"/>
      <c r="G27" s="90" t="s">
        <v>206</v>
      </c>
      <c r="H27" s="88" t="s">
        <v>198</v>
      </c>
      <c r="I27" s="89"/>
      <c r="J27" s="107" t="s">
        <v>277</v>
      </c>
    </row>
    <row r="28" spans="1:11" ht="180" hidden="1" x14ac:dyDescent="0.25">
      <c r="A28" s="85">
        <f t="shared" si="0"/>
        <v>24</v>
      </c>
      <c r="B28" s="100" t="s">
        <v>207</v>
      </c>
      <c r="C28" s="87" t="s">
        <v>212</v>
      </c>
      <c r="D28" s="88" t="s">
        <v>208</v>
      </c>
      <c r="E28" s="88" t="s">
        <v>219</v>
      </c>
      <c r="F28" s="89"/>
      <c r="G28" s="90" t="s">
        <v>209</v>
      </c>
      <c r="H28" s="88" t="s">
        <v>210</v>
      </c>
      <c r="I28" s="89"/>
      <c r="J28" s="107" t="s">
        <v>256</v>
      </c>
    </row>
    <row r="29" spans="1:11" ht="30" hidden="1" x14ac:dyDescent="0.25">
      <c r="A29" s="85">
        <f t="shared" si="0"/>
        <v>25</v>
      </c>
      <c r="B29" s="100" t="s">
        <v>213</v>
      </c>
      <c r="C29" s="87" t="s">
        <v>211</v>
      </c>
      <c r="D29" s="88" t="s">
        <v>214</v>
      </c>
      <c r="E29" s="88" t="s">
        <v>218</v>
      </c>
      <c r="F29" s="89"/>
      <c r="G29" s="88" t="s">
        <v>215</v>
      </c>
      <c r="H29" s="88" t="s">
        <v>198</v>
      </c>
      <c r="I29" s="89"/>
      <c r="J29" s="107" t="s">
        <v>277</v>
      </c>
      <c r="K29" s="101" t="s">
        <v>253</v>
      </c>
    </row>
    <row r="30" spans="1:11" s="47" customFormat="1" ht="45" x14ac:dyDescent="0.25">
      <c r="A30" s="32">
        <f t="shared" si="0"/>
        <v>26</v>
      </c>
      <c r="B30" s="41" t="s">
        <v>281</v>
      </c>
      <c r="C30" s="36" t="s">
        <v>260</v>
      </c>
      <c r="D30" s="33" t="s">
        <v>282</v>
      </c>
      <c r="E30" s="33" t="s">
        <v>288</v>
      </c>
      <c r="F30" s="34" t="s">
        <v>288</v>
      </c>
      <c r="G30" s="33" t="s">
        <v>283</v>
      </c>
      <c r="H30" s="34" t="s">
        <v>304</v>
      </c>
      <c r="I30" s="33"/>
      <c r="J30" s="113" t="s">
        <v>258</v>
      </c>
      <c r="K30" s="116" t="s">
        <v>280</v>
      </c>
    </row>
    <row r="31" spans="1:11" s="47" customFormat="1" ht="60" x14ac:dyDescent="0.25">
      <c r="A31" s="32">
        <f t="shared" si="0"/>
        <v>27</v>
      </c>
      <c r="B31" s="41" t="s">
        <v>285</v>
      </c>
      <c r="C31" s="36" t="s">
        <v>261</v>
      </c>
      <c r="D31" s="33" t="s">
        <v>286</v>
      </c>
      <c r="E31" s="34" t="s">
        <v>287</v>
      </c>
      <c r="F31" s="34"/>
      <c r="G31" s="33" t="s">
        <v>284</v>
      </c>
      <c r="H31" s="33" t="s">
        <v>342</v>
      </c>
      <c r="I31" s="33"/>
      <c r="J31" s="113" t="s">
        <v>257</v>
      </c>
      <c r="K31" s="117"/>
    </row>
    <row r="32" spans="1:11" s="47" customFormat="1" ht="33" customHeight="1" x14ac:dyDescent="0.25">
      <c r="A32" s="32">
        <f t="shared" si="0"/>
        <v>28</v>
      </c>
      <c r="B32" s="41" t="s">
        <v>289</v>
      </c>
      <c r="C32" s="36" t="s">
        <v>262</v>
      </c>
      <c r="D32" s="33" t="s">
        <v>290</v>
      </c>
      <c r="E32" s="34" t="s">
        <v>291</v>
      </c>
      <c r="F32" s="33"/>
      <c r="G32" s="33" t="s">
        <v>292</v>
      </c>
      <c r="H32" s="34" t="s">
        <v>198</v>
      </c>
      <c r="I32" s="33" t="s">
        <v>187</v>
      </c>
      <c r="J32" s="113" t="s">
        <v>254</v>
      </c>
      <c r="K32" s="117"/>
    </row>
    <row r="33" spans="1:11" s="120" customFormat="1" ht="30" x14ac:dyDescent="0.25">
      <c r="A33" s="123">
        <f t="shared" si="0"/>
        <v>29</v>
      </c>
      <c r="B33" s="124" t="s">
        <v>289</v>
      </c>
      <c r="C33" s="35" t="s">
        <v>125</v>
      </c>
      <c r="D33" s="125" t="s">
        <v>293</v>
      </c>
      <c r="E33" s="125" t="s">
        <v>294</v>
      </c>
      <c r="F33" s="126"/>
      <c r="G33" s="126" t="s">
        <v>131</v>
      </c>
      <c r="H33" s="126"/>
      <c r="I33" s="126"/>
      <c r="J33" s="118" t="s">
        <v>256</v>
      </c>
      <c r="K33" s="119"/>
    </row>
    <row r="34" spans="1:11" s="47" customFormat="1" ht="30" x14ac:dyDescent="0.25">
      <c r="A34" s="32">
        <f t="shared" si="0"/>
        <v>30</v>
      </c>
      <c r="B34" s="41" t="s">
        <v>298</v>
      </c>
      <c r="C34" s="36" t="s">
        <v>263</v>
      </c>
      <c r="D34" s="33" t="s">
        <v>295</v>
      </c>
      <c r="E34" s="34" t="s">
        <v>288</v>
      </c>
      <c r="F34" s="33"/>
      <c r="G34" s="33" t="s">
        <v>296</v>
      </c>
      <c r="H34" s="34" t="s">
        <v>297</v>
      </c>
      <c r="I34" s="33"/>
      <c r="J34" s="113" t="s">
        <v>258</v>
      </c>
      <c r="K34" s="117"/>
    </row>
    <row r="35" spans="1:11" s="47" customFormat="1" ht="30" x14ac:dyDescent="0.25">
      <c r="A35" s="32">
        <f t="shared" si="0"/>
        <v>31</v>
      </c>
      <c r="B35" s="41" t="s">
        <v>302</v>
      </c>
      <c r="C35" s="36" t="s">
        <v>264</v>
      </c>
      <c r="D35" s="34" t="s">
        <v>301</v>
      </c>
      <c r="E35" s="34" t="s">
        <v>300</v>
      </c>
      <c r="F35" s="34"/>
      <c r="G35" s="34" t="s">
        <v>299</v>
      </c>
      <c r="H35" s="34" t="s">
        <v>341</v>
      </c>
      <c r="I35" s="33"/>
      <c r="J35" s="113"/>
      <c r="K35" s="117"/>
    </row>
    <row r="36" spans="1:11" s="47" customFormat="1" ht="45" customHeight="1" x14ac:dyDescent="0.25">
      <c r="A36" s="32">
        <f t="shared" si="0"/>
        <v>32</v>
      </c>
      <c r="B36" s="41" t="s">
        <v>306</v>
      </c>
      <c r="C36" s="36" t="s">
        <v>265</v>
      </c>
      <c r="D36" s="33" t="s">
        <v>303</v>
      </c>
      <c r="E36" s="34" t="s">
        <v>288</v>
      </c>
      <c r="F36" s="33"/>
      <c r="G36" s="33" t="s">
        <v>305</v>
      </c>
      <c r="H36" s="34" t="s">
        <v>304</v>
      </c>
      <c r="I36" s="33"/>
      <c r="J36" s="113" t="s">
        <v>258</v>
      </c>
      <c r="K36" s="117"/>
    </row>
    <row r="37" spans="1:11" s="47" customFormat="1" ht="30.75" customHeight="1" x14ac:dyDescent="0.25">
      <c r="A37" s="32">
        <f t="shared" si="0"/>
        <v>33</v>
      </c>
      <c r="B37" s="41" t="s">
        <v>307</v>
      </c>
      <c r="C37" s="36" t="s">
        <v>266</v>
      </c>
      <c r="D37" s="34" t="s">
        <v>81</v>
      </c>
      <c r="E37" s="34" t="s">
        <v>288</v>
      </c>
      <c r="F37" s="34"/>
      <c r="G37" s="34" t="s">
        <v>308</v>
      </c>
      <c r="H37" s="34" t="s">
        <v>304</v>
      </c>
      <c r="I37" s="34"/>
      <c r="J37" s="122" t="s">
        <v>258</v>
      </c>
      <c r="K37" s="117"/>
    </row>
    <row r="38" spans="1:11" s="47" customFormat="1" ht="45" x14ac:dyDescent="0.25">
      <c r="A38" s="32">
        <f t="shared" si="0"/>
        <v>34</v>
      </c>
      <c r="B38" s="41" t="s">
        <v>309</v>
      </c>
      <c r="C38" s="36" t="s">
        <v>267</v>
      </c>
      <c r="D38" s="34" t="s">
        <v>313</v>
      </c>
      <c r="E38" s="34" t="s">
        <v>310</v>
      </c>
      <c r="F38" s="34"/>
      <c r="G38" s="34" t="s">
        <v>311</v>
      </c>
      <c r="H38" s="34" t="s">
        <v>312</v>
      </c>
      <c r="I38" s="34"/>
      <c r="J38" s="122" t="s">
        <v>256</v>
      </c>
      <c r="K38" s="117"/>
    </row>
    <row r="39" spans="1:11" s="47" customFormat="1" ht="45" x14ac:dyDescent="0.25">
      <c r="A39" s="32">
        <f t="shared" si="0"/>
        <v>35</v>
      </c>
      <c r="B39" s="41" t="s">
        <v>314</v>
      </c>
      <c r="C39" s="36" t="s">
        <v>268</v>
      </c>
      <c r="D39" s="34" t="s">
        <v>315</v>
      </c>
      <c r="E39" s="34" t="s">
        <v>294</v>
      </c>
      <c r="F39" s="34"/>
      <c r="G39" s="34" t="s">
        <v>316</v>
      </c>
      <c r="H39" s="34" t="s">
        <v>340</v>
      </c>
      <c r="I39" s="34"/>
      <c r="J39" s="122" t="s">
        <v>256</v>
      </c>
      <c r="K39" s="117"/>
    </row>
    <row r="40" spans="1:11" s="47" customFormat="1" ht="75" x14ac:dyDescent="0.25">
      <c r="A40" s="32">
        <f t="shared" si="0"/>
        <v>36</v>
      </c>
      <c r="B40" s="127" t="s">
        <v>320</v>
      </c>
      <c r="C40" s="36" t="s">
        <v>269</v>
      </c>
      <c r="D40" s="34"/>
      <c r="E40" s="34" t="s">
        <v>318</v>
      </c>
      <c r="F40" s="34"/>
      <c r="G40" s="34"/>
      <c r="H40" s="34"/>
      <c r="I40" s="34" t="s">
        <v>317</v>
      </c>
      <c r="J40" s="122" t="s">
        <v>319</v>
      </c>
      <c r="K40" s="117"/>
    </row>
    <row r="41" spans="1:11" s="47" customFormat="1" ht="30" x14ac:dyDescent="0.25">
      <c r="A41" s="32">
        <f t="shared" si="0"/>
        <v>37</v>
      </c>
      <c r="B41" s="41" t="s">
        <v>321</v>
      </c>
      <c r="C41" s="36" t="s">
        <v>270</v>
      </c>
      <c r="D41" s="34" t="s">
        <v>322</v>
      </c>
      <c r="E41" s="34" t="s">
        <v>310</v>
      </c>
      <c r="F41" s="34"/>
      <c r="G41" s="34"/>
      <c r="H41" s="34"/>
      <c r="I41" s="34"/>
      <c r="J41" s="122" t="s">
        <v>256</v>
      </c>
      <c r="K41" s="117"/>
    </row>
    <row r="42" spans="1:11" s="47" customFormat="1" ht="30" x14ac:dyDescent="0.25">
      <c r="A42" s="32">
        <f t="shared" si="0"/>
        <v>38</v>
      </c>
      <c r="B42" s="41" t="s">
        <v>323</v>
      </c>
      <c r="C42" s="36" t="s">
        <v>271</v>
      </c>
      <c r="D42" s="34" t="s">
        <v>324</v>
      </c>
      <c r="E42" s="34" t="s">
        <v>288</v>
      </c>
      <c r="F42" s="34"/>
      <c r="G42" s="34" t="s">
        <v>325</v>
      </c>
      <c r="H42" s="34" t="s">
        <v>342</v>
      </c>
      <c r="I42" s="34"/>
      <c r="J42" s="122" t="s">
        <v>258</v>
      </c>
      <c r="K42" s="117"/>
    </row>
    <row r="43" spans="1:11" s="47" customFormat="1" ht="45" x14ac:dyDescent="0.25">
      <c r="A43" s="32">
        <f t="shared" si="0"/>
        <v>39</v>
      </c>
      <c r="B43" s="41" t="s">
        <v>326</v>
      </c>
      <c r="C43" s="36" t="s">
        <v>272</v>
      </c>
      <c r="D43" s="34" t="s">
        <v>327</v>
      </c>
      <c r="E43" s="34" t="s">
        <v>328</v>
      </c>
      <c r="F43" s="34"/>
      <c r="G43" s="34"/>
      <c r="H43" s="34" t="s">
        <v>175</v>
      </c>
      <c r="I43" s="34"/>
      <c r="J43" s="122"/>
      <c r="K43" s="117"/>
    </row>
    <row r="44" spans="1:11" s="47" customFormat="1" ht="30" x14ac:dyDescent="0.25">
      <c r="A44" s="32">
        <f t="shared" si="0"/>
        <v>40</v>
      </c>
      <c r="B44" s="41" t="s">
        <v>289</v>
      </c>
      <c r="C44" s="36" t="s">
        <v>273</v>
      </c>
      <c r="D44" s="34" t="s">
        <v>330</v>
      </c>
      <c r="E44" s="34" t="s">
        <v>332</v>
      </c>
      <c r="F44" s="34"/>
      <c r="G44" s="34" t="s">
        <v>329</v>
      </c>
      <c r="H44" s="34" t="s">
        <v>331</v>
      </c>
      <c r="I44" s="34"/>
      <c r="J44" s="122" t="s">
        <v>258</v>
      </c>
      <c r="K44" s="117"/>
    </row>
    <row r="45" spans="1:11" s="47" customFormat="1" ht="45" x14ac:dyDescent="0.25">
      <c r="A45" s="32">
        <f t="shared" si="0"/>
        <v>41</v>
      </c>
      <c r="B45" s="41" t="s">
        <v>336</v>
      </c>
      <c r="C45" s="36" t="s">
        <v>274</v>
      </c>
      <c r="D45" s="34" t="s">
        <v>335</v>
      </c>
      <c r="E45" s="34" t="s">
        <v>291</v>
      </c>
      <c r="F45" s="34"/>
      <c r="G45" s="34" t="s">
        <v>334</v>
      </c>
      <c r="H45" s="34" t="s">
        <v>333</v>
      </c>
      <c r="I45" s="34"/>
      <c r="J45" s="122" t="s">
        <v>254</v>
      </c>
      <c r="K45" s="117"/>
    </row>
    <row r="46" spans="1:11" s="47" customFormat="1" ht="45" x14ac:dyDescent="0.25">
      <c r="A46" s="32">
        <f t="shared" si="0"/>
        <v>42</v>
      </c>
      <c r="B46" s="41" t="s">
        <v>337</v>
      </c>
      <c r="C46" s="36" t="s">
        <v>275</v>
      </c>
      <c r="D46" s="34" t="s">
        <v>138</v>
      </c>
      <c r="E46" s="34" t="s">
        <v>338</v>
      </c>
      <c r="F46" s="34"/>
      <c r="G46" s="34" t="s">
        <v>339</v>
      </c>
      <c r="H46" s="34" t="s">
        <v>333</v>
      </c>
      <c r="I46" s="34"/>
      <c r="J46" s="122" t="s">
        <v>255</v>
      </c>
      <c r="K46" s="121" t="s">
        <v>278</v>
      </c>
    </row>
    <row r="47" spans="1:11" s="31" customFormat="1" ht="21" customHeight="1" x14ac:dyDescent="0.25">
      <c r="B47" s="112"/>
      <c r="C47" s="114" t="s">
        <v>278</v>
      </c>
      <c r="J47" s="103"/>
      <c r="K47" s="71"/>
    </row>
  </sheetData>
  <autoFilter ref="A4:J47"/>
  <mergeCells count="2">
    <mergeCell ref="A1:I1"/>
    <mergeCell ref="A2:I2"/>
  </mergeCells>
  <phoneticPr fontId="3" type="noConversion"/>
  <printOptions horizontalCentered="1"/>
  <pageMargins left="0.15" right="0.19" top="0.74803149606299213" bottom="0.74803149606299213" header="0.31496062992125984" footer="0.31496062992125984"/>
  <pageSetup paperSize="9" scale="53" fitToHeight="0" orientation="landscape"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1"/>
  <sheetViews>
    <sheetView zoomScale="80" zoomScaleNormal="80" workbookViewId="0">
      <pane ySplit="4" topLeftCell="A8" activePane="bottomLeft" state="frozen"/>
      <selection pane="bottomLeft" activeCell="H10" sqref="H10"/>
    </sheetView>
  </sheetViews>
  <sheetFormatPr baseColWidth="10" defaultRowHeight="15" x14ac:dyDescent="0.25"/>
  <cols>
    <col min="1" max="3" width="10.140625" customWidth="1"/>
    <col min="4" max="4" width="33.140625" customWidth="1"/>
    <col min="5" max="5" width="34.85546875" customWidth="1"/>
    <col min="6" max="6" width="37" bestFit="1" customWidth="1"/>
  </cols>
  <sheetData>
    <row r="1" spans="1:6" x14ac:dyDescent="0.25">
      <c r="A1" s="128" t="s">
        <v>5</v>
      </c>
      <c r="B1" s="128"/>
      <c r="C1" s="128"/>
      <c r="D1" s="128"/>
      <c r="E1" s="128"/>
      <c r="F1" s="128"/>
    </row>
    <row r="2" spans="1:6" x14ac:dyDescent="0.25">
      <c r="A2" s="128" t="s">
        <v>10</v>
      </c>
      <c r="B2" s="128"/>
      <c r="C2" s="128"/>
      <c r="D2" s="128"/>
      <c r="E2" s="128"/>
      <c r="F2" s="128"/>
    </row>
    <row r="3" spans="1:6" x14ac:dyDescent="0.25">
      <c r="A3" s="9"/>
      <c r="B3" s="9"/>
      <c r="C3" s="9"/>
      <c r="D3" s="9"/>
      <c r="E3" s="9"/>
      <c r="F3" s="9"/>
    </row>
    <row r="4" spans="1:6" ht="30" x14ac:dyDescent="0.25">
      <c r="A4" s="11" t="s">
        <v>84</v>
      </c>
      <c r="B4" s="11" t="s">
        <v>59</v>
      </c>
      <c r="C4" s="12" t="s">
        <v>103</v>
      </c>
      <c r="D4" s="12" t="s">
        <v>104</v>
      </c>
      <c r="E4" s="12" t="s">
        <v>105</v>
      </c>
      <c r="F4" s="12" t="s">
        <v>106</v>
      </c>
    </row>
    <row r="5" spans="1:6" ht="75" x14ac:dyDescent="0.25">
      <c r="A5" s="32">
        <f>ROW()-4</f>
        <v>1</v>
      </c>
      <c r="B5" s="32" t="s">
        <v>107</v>
      </c>
      <c r="C5" s="32" t="s">
        <v>100</v>
      </c>
      <c r="D5" s="33" t="s">
        <v>99</v>
      </c>
      <c r="E5" s="34" t="s">
        <v>102</v>
      </c>
      <c r="F5" s="33" t="s">
        <v>101</v>
      </c>
    </row>
    <row r="6" spans="1:6" ht="45" x14ac:dyDescent="0.25">
      <c r="A6" s="32">
        <f t="shared" ref="A6:A11" si="0">ROW()-4</f>
        <v>2</v>
      </c>
      <c r="B6" s="32" t="s">
        <v>112</v>
      </c>
      <c r="C6" s="32" t="s">
        <v>109</v>
      </c>
      <c r="D6" s="33" t="s">
        <v>110</v>
      </c>
      <c r="E6" s="34" t="s">
        <v>108</v>
      </c>
      <c r="F6" s="33" t="s">
        <v>111</v>
      </c>
    </row>
    <row r="7" spans="1:6" ht="75" x14ac:dyDescent="0.25">
      <c r="A7" s="32">
        <f t="shared" si="0"/>
        <v>3</v>
      </c>
      <c r="B7" s="32" t="s">
        <v>112</v>
      </c>
      <c r="C7" s="32" t="s">
        <v>109</v>
      </c>
      <c r="D7" s="33" t="s">
        <v>118</v>
      </c>
      <c r="E7" s="34" t="s">
        <v>117</v>
      </c>
      <c r="F7" s="33" t="s">
        <v>119</v>
      </c>
    </row>
    <row r="8" spans="1:6" ht="45" x14ac:dyDescent="0.25">
      <c r="A8" s="32">
        <f t="shared" si="0"/>
        <v>4</v>
      </c>
      <c r="B8" s="32" t="s">
        <v>116</v>
      </c>
      <c r="C8" s="32" t="s">
        <v>109</v>
      </c>
      <c r="D8" s="33" t="s">
        <v>114</v>
      </c>
      <c r="E8" s="34" t="s">
        <v>113</v>
      </c>
      <c r="F8" s="33" t="s">
        <v>115</v>
      </c>
    </row>
    <row r="9" spans="1:6" ht="78" customHeight="1" x14ac:dyDescent="0.25">
      <c r="A9" s="32">
        <f t="shared" si="0"/>
        <v>5</v>
      </c>
      <c r="B9" s="32" t="s">
        <v>123</v>
      </c>
      <c r="C9" s="32" t="s">
        <v>109</v>
      </c>
      <c r="D9" s="33" t="s">
        <v>121</v>
      </c>
      <c r="E9" s="34" t="s">
        <v>120</v>
      </c>
      <c r="F9" s="33" t="s">
        <v>122</v>
      </c>
    </row>
    <row r="10" spans="1:6" ht="60" x14ac:dyDescent="0.25">
      <c r="A10" s="22">
        <f t="shared" si="0"/>
        <v>6</v>
      </c>
      <c r="B10" s="22">
        <v>2024</v>
      </c>
      <c r="C10" s="22" t="s">
        <v>109</v>
      </c>
      <c r="D10" s="23" t="s">
        <v>184</v>
      </c>
      <c r="E10" s="24" t="s">
        <v>183</v>
      </c>
      <c r="F10" s="23" t="s">
        <v>185</v>
      </c>
    </row>
    <row r="11" spans="1:6" ht="45" x14ac:dyDescent="0.25">
      <c r="A11" s="22">
        <f t="shared" si="0"/>
        <v>7</v>
      </c>
      <c r="B11" s="22">
        <v>2024</v>
      </c>
      <c r="C11" s="22" t="s">
        <v>109</v>
      </c>
      <c r="D11" s="23" t="s">
        <v>186</v>
      </c>
      <c r="E11" s="24" t="s">
        <v>108</v>
      </c>
      <c r="F11" s="23" t="s">
        <v>111</v>
      </c>
    </row>
  </sheetData>
  <mergeCells count="2">
    <mergeCell ref="A1:F1"/>
    <mergeCell ref="A2:F2"/>
  </mergeCells>
  <pageMargins left="0.7" right="0.7" top="0.75" bottom="0.75" header="0.3" footer="0.3"/>
  <pageSetup paperSize="9" orientation="landscape"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
  <sheetViews>
    <sheetView zoomScale="80" zoomScaleNormal="80" workbookViewId="0">
      <pane ySplit="4" topLeftCell="A5" activePane="bottomLeft" state="frozen"/>
      <selection pane="bottomLeft" activeCell="D11" sqref="D11"/>
    </sheetView>
  </sheetViews>
  <sheetFormatPr baseColWidth="10" defaultRowHeight="15" x14ac:dyDescent="0.25"/>
  <cols>
    <col min="1" max="1" width="3.42578125" style="1" bestFit="1" customWidth="1"/>
    <col min="2" max="2" width="8.85546875" style="1" customWidth="1"/>
    <col min="3" max="3" width="27.5703125" customWidth="1"/>
    <col min="4" max="4" width="23.85546875" customWidth="1"/>
    <col min="5" max="5" width="36.7109375" customWidth="1"/>
    <col min="6" max="6" width="34.7109375" customWidth="1"/>
  </cols>
  <sheetData>
    <row r="1" spans="1:6" x14ac:dyDescent="0.25">
      <c r="A1" s="128" t="s">
        <v>5</v>
      </c>
      <c r="B1" s="128"/>
      <c r="C1" s="128"/>
      <c r="D1" s="128"/>
      <c r="E1" s="128"/>
      <c r="F1" s="128"/>
    </row>
    <row r="2" spans="1:6" x14ac:dyDescent="0.25">
      <c r="A2" s="128" t="s">
        <v>181</v>
      </c>
      <c r="B2" s="128"/>
      <c r="C2" s="128"/>
      <c r="D2" s="128"/>
      <c r="E2" s="128"/>
      <c r="F2" s="128"/>
    </row>
    <row r="3" spans="1:6" x14ac:dyDescent="0.25">
      <c r="A3" s="29"/>
      <c r="B3" s="29"/>
      <c r="C3" s="9"/>
      <c r="D3" s="9"/>
      <c r="E3" s="9"/>
      <c r="F3" s="9"/>
    </row>
    <row r="4" spans="1:6" x14ac:dyDescent="0.25">
      <c r="A4" s="13" t="s">
        <v>84</v>
      </c>
      <c r="B4" s="13" t="s">
        <v>124</v>
      </c>
      <c r="C4" s="14" t="s">
        <v>126</v>
      </c>
      <c r="D4" s="14" t="s">
        <v>127</v>
      </c>
      <c r="E4" s="15" t="s">
        <v>129</v>
      </c>
      <c r="F4" s="16" t="s">
        <v>9</v>
      </c>
    </row>
    <row r="5" spans="1:6" ht="60" x14ac:dyDescent="0.25">
      <c r="A5" s="28">
        <f>ROW()-4</f>
        <v>1</v>
      </c>
      <c r="B5" s="21">
        <v>2024</v>
      </c>
      <c r="C5" s="6" t="s">
        <v>125</v>
      </c>
      <c r="D5" s="6" t="s">
        <v>128</v>
      </c>
      <c r="E5" s="7" t="s">
        <v>130</v>
      </c>
      <c r="F5" s="8" t="s">
        <v>131</v>
      </c>
    </row>
  </sheetData>
  <mergeCells count="2">
    <mergeCell ref="A1:F1"/>
    <mergeCell ref="A2:F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3</vt:i4>
      </vt:variant>
    </vt:vector>
  </HeadingPairs>
  <TitlesOfParts>
    <vt:vector size="7" baseType="lpstr">
      <vt:lpstr>Proyectos con Financiamiento</vt:lpstr>
      <vt:lpstr>Publicación de artículos</vt:lpstr>
      <vt:lpstr>TESIS</vt:lpstr>
      <vt:lpstr>Autor capítulo libro</vt:lpstr>
      <vt:lpstr>'Proyectos con Financiamiento'!Área_de_impresión</vt:lpstr>
      <vt:lpstr>'Publicación de artículos'!Área_de_impresión</vt:lpstr>
      <vt:lpstr>TESIS!Área_de_impresión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F20VDI02E</cp:lastModifiedBy>
  <cp:lastPrinted>2024-11-28T21:17:14Z</cp:lastPrinted>
  <dcterms:created xsi:type="dcterms:W3CDTF">2024-04-03T18:50:10Z</dcterms:created>
  <dcterms:modified xsi:type="dcterms:W3CDTF">2024-11-28T21:25:11Z</dcterms:modified>
</cp:coreProperties>
</file>